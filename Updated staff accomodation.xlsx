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Staff_app\"/>
    </mc:Choice>
  </mc:AlternateContent>
  <bookViews>
    <workbookView xWindow="0" yWindow="0" windowWidth="19200" windowHeight="7190" activeTab="1"/>
  </bookViews>
  <sheets>
    <sheet name="Summary" sheetId="1" r:id="rId1"/>
    <sheet name="Sheet3" sheetId="3" r:id="rId2"/>
    <sheet name="Sheet2" sheetId="2" r:id="rId3"/>
  </sheets>
  <externalReferences>
    <externalReference r:id="rId4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" i="1" l="1"/>
  <c r="G36" i="1"/>
  <c r="C36" i="1"/>
  <c r="I34" i="1"/>
  <c r="H34" i="1"/>
  <c r="I33" i="1"/>
  <c r="H33" i="1"/>
  <c r="H32" i="1"/>
  <c r="I32" i="1" s="1"/>
  <c r="I31" i="1"/>
  <c r="H31" i="1"/>
  <c r="I30" i="1"/>
  <c r="H30" i="1"/>
  <c r="H29" i="1"/>
  <c r="I29" i="1" s="1"/>
  <c r="H28" i="1"/>
  <c r="I28" i="1" s="1"/>
  <c r="H27" i="1"/>
  <c r="I27" i="1" s="1"/>
  <c r="I26" i="1"/>
  <c r="H26" i="1"/>
  <c r="H25" i="1"/>
  <c r="I25" i="1" s="1"/>
  <c r="H24" i="1"/>
  <c r="I24" i="1" s="1"/>
  <c r="H23" i="1"/>
  <c r="I23" i="1" s="1"/>
  <c r="I22" i="1"/>
  <c r="H22" i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  <c r="I36" i="1" s="1"/>
  <c r="H36" i="1" l="1"/>
</calcChain>
</file>

<file path=xl/comments1.xml><?xml version="1.0" encoding="utf-8"?>
<comments xmlns="http://schemas.openxmlformats.org/spreadsheetml/2006/main">
  <authors>
    <author>IPBPO04</author>
  </authors>
  <commentList>
    <comment ref="C15" authorId="0" shapeId="0">
      <text>
        <r>
          <rPr>
            <b/>
            <sz val="9"/>
            <color indexed="81"/>
            <rFont val="Tahoma"/>
            <family val="2"/>
          </rPr>
          <t>IPBPO04:</t>
        </r>
        <r>
          <rPr>
            <sz val="9"/>
            <color indexed="81"/>
            <rFont val="Tahoma"/>
            <family val="2"/>
          </rPr>
          <t xml:space="preserve">
ARSHAD'S STAFF REPORT-THIS ROOM NO IS G78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IPBPO04:</t>
        </r>
        <r>
          <rPr>
            <sz val="9"/>
            <color indexed="81"/>
            <rFont val="Tahoma"/>
            <family val="2"/>
          </rPr>
          <t xml:space="preserve">
ARSHAD'S STAFF REPORT-THIS ROOM NO IS S78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REJOINING ON 25-05-2026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REJOINED ON 25-2-26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Rejoining after Annual leave on 14-05-2026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Joining on 13-05-2026</t>
        </r>
      </text>
    </comment>
    <comment ref="B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Joining on 13-05-2026</t>
        </r>
      </text>
    </comment>
    <comment ref="B1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joining on 11-03-2026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ANNUAL LEAVE ON 16-2-26</t>
        </r>
      </text>
    </comment>
  </commentList>
</comments>
</file>

<file path=xl/sharedStrings.xml><?xml version="1.0" encoding="utf-8"?>
<sst xmlns="http://schemas.openxmlformats.org/spreadsheetml/2006/main" count="828" uniqueCount="513">
  <si>
    <t>Room 
ID</t>
  </si>
  <si>
    <t xml:space="preserve"> </t>
  </si>
  <si>
    <t>Room 
No</t>
  </si>
  <si>
    <t>Emirate</t>
  </si>
  <si>
    <t>Expiry</t>
  </si>
  <si>
    <t>Contract 
Status</t>
  </si>
  <si>
    <t>Capacity</t>
  </si>
  <si>
    <t>Occupied</t>
  </si>
  <si>
    <t>Available</t>
  </si>
  <si>
    <t>Managed by</t>
  </si>
  <si>
    <t>R1001</t>
  </si>
  <si>
    <t>Al Quoz</t>
  </si>
  <si>
    <t>Dubai</t>
  </si>
  <si>
    <t>Hamid &amp; Dawood</t>
  </si>
  <si>
    <t>R1002</t>
  </si>
  <si>
    <t>R1003</t>
  </si>
  <si>
    <t>R1004</t>
  </si>
  <si>
    <t>R1005</t>
  </si>
  <si>
    <t>R2006</t>
  </si>
  <si>
    <t>Sonapur</t>
  </si>
  <si>
    <t>Arshad</t>
  </si>
  <si>
    <t>R2007</t>
  </si>
  <si>
    <t>R2008</t>
  </si>
  <si>
    <t>R3009</t>
  </si>
  <si>
    <t>Jebel Ali</t>
  </si>
  <si>
    <t>Falak</t>
  </si>
  <si>
    <t>R3010</t>
  </si>
  <si>
    <t>R3011</t>
  </si>
  <si>
    <t>R2012</t>
  </si>
  <si>
    <t>R2013</t>
  </si>
  <si>
    <t>R2014</t>
  </si>
  <si>
    <t>R2015</t>
  </si>
  <si>
    <t>R2016</t>
  </si>
  <si>
    <t>R2017</t>
  </si>
  <si>
    <t>R2018</t>
  </si>
  <si>
    <t>R2019</t>
  </si>
  <si>
    <t>R2020</t>
  </si>
  <si>
    <t>R1021</t>
  </si>
  <si>
    <t>GF-5</t>
  </si>
  <si>
    <t>R1022</t>
  </si>
  <si>
    <t>GF-6</t>
  </si>
  <si>
    <t>R3023</t>
  </si>
  <si>
    <t>R4024</t>
  </si>
  <si>
    <t>Musaffah</t>
  </si>
  <si>
    <t>A12</t>
  </si>
  <si>
    <t>Abu Dhabi</t>
  </si>
  <si>
    <t>Shahzad</t>
  </si>
  <si>
    <t>R1025</t>
  </si>
  <si>
    <t>R1026</t>
  </si>
  <si>
    <t>R3027</t>
  </si>
  <si>
    <t>R5028</t>
  </si>
  <si>
    <t xml:space="preserve">Ajbaan </t>
  </si>
  <si>
    <t>R5029</t>
  </si>
  <si>
    <t>R5030</t>
  </si>
  <si>
    <t>STAFF ON LEAVE</t>
  </si>
  <si>
    <t>Bed ID</t>
  </si>
  <si>
    <t>Occupant Name</t>
  </si>
  <si>
    <t>Occupant ID</t>
  </si>
  <si>
    <t>Location</t>
  </si>
  <si>
    <t>R1001-001</t>
  </si>
  <si>
    <t>Abdane Bunde</t>
  </si>
  <si>
    <t>LS 6080</t>
  </si>
  <si>
    <t>AQZ-006-BD1-LB</t>
  </si>
  <si>
    <t>R1001-002</t>
  </si>
  <si>
    <t>Muhammad Shahid</t>
  </si>
  <si>
    <t>JBL-237-BD4-UB</t>
  </si>
  <si>
    <t>R1001-003</t>
  </si>
  <si>
    <t>Nanda Kishore Battu</t>
  </si>
  <si>
    <t>AQZ-006-BD3-LB</t>
  </si>
  <si>
    <t>R1001-004</t>
  </si>
  <si>
    <t>Aliyi Shibire</t>
  </si>
  <si>
    <t>AQZ-006-BD2-LB</t>
  </si>
  <si>
    <t>R1001-005</t>
  </si>
  <si>
    <t>Bedaso Jiru Geja</t>
  </si>
  <si>
    <t>AQZ-006-BD3-UB</t>
  </si>
  <si>
    <t>R1001-006</t>
  </si>
  <si>
    <t>JBL-237-BD2-UB</t>
  </si>
  <si>
    <t>Status</t>
  </si>
  <si>
    <t>FULL</t>
  </si>
  <si>
    <t>VACANT</t>
  </si>
  <si>
    <t>R1002-007</t>
  </si>
  <si>
    <t>Abid Ali</t>
  </si>
  <si>
    <t>LS 6079</t>
  </si>
  <si>
    <t>AQZ-007-BD2-LB</t>
  </si>
  <si>
    <t>R1002-008</t>
  </si>
  <si>
    <t>Arshad Mehmood</t>
  </si>
  <si>
    <t>R1002-009</t>
  </si>
  <si>
    <t>Hamsakaramath</t>
  </si>
  <si>
    <t>floor</t>
  </si>
  <si>
    <t>R1002-010</t>
  </si>
  <si>
    <t>Muhammad Umer</t>
  </si>
  <si>
    <t>R1002-011</t>
  </si>
  <si>
    <t xml:space="preserve">Shankar Kumar </t>
  </si>
  <si>
    <t>AQZ-007-BD2-UB</t>
  </si>
  <si>
    <t>R1002-012</t>
  </si>
  <si>
    <t>Huzaifa Mehmood</t>
  </si>
  <si>
    <t>R1003-013</t>
  </si>
  <si>
    <t>Tola Chala</t>
  </si>
  <si>
    <t>LS 6084</t>
  </si>
  <si>
    <t>AQZ-008-BD1-LB</t>
  </si>
  <si>
    <t>R1003-014</t>
  </si>
  <si>
    <t>Shahjan</t>
  </si>
  <si>
    <t>AQZ-008-BD1-UB</t>
  </si>
  <si>
    <t>R1003-015</t>
  </si>
  <si>
    <t>Akbar Singh</t>
  </si>
  <si>
    <t>AQZ-008-BD2-UB</t>
  </si>
  <si>
    <t>R1003-016</t>
  </si>
  <si>
    <t>Aliyi Genole Tola</t>
  </si>
  <si>
    <t>AQZ-008-BD2-LB</t>
  </si>
  <si>
    <t>R1003-017</t>
  </si>
  <si>
    <t>Jifara Kenesa</t>
  </si>
  <si>
    <t>AQZ-008-BD3-UB</t>
  </si>
  <si>
    <t>R1003-018</t>
  </si>
  <si>
    <t>AQZ-008-BD3-LB</t>
  </si>
  <si>
    <t>R1004-019</t>
  </si>
  <si>
    <t>Mohammad Anis</t>
  </si>
  <si>
    <t>AQZ-012-BD1-LB</t>
  </si>
  <si>
    <t>R1004-020</t>
  </si>
  <si>
    <t>Babu lal</t>
  </si>
  <si>
    <t>AQZ-012-BD1-UB</t>
  </si>
  <si>
    <t>R1004-021</t>
  </si>
  <si>
    <t>Narottam Singh</t>
  </si>
  <si>
    <t>AQZ-012-BD3-LB</t>
  </si>
  <si>
    <t>R1004-022</t>
  </si>
  <si>
    <t>Navanith Varma</t>
  </si>
  <si>
    <t>AQZ-012-BD4-LB</t>
  </si>
  <si>
    <t>R1004-023</t>
  </si>
  <si>
    <t>Mithlesh Kumar</t>
  </si>
  <si>
    <t>AQZ-012-BD2-LB</t>
  </si>
  <si>
    <t>R1004-024</t>
  </si>
  <si>
    <t xml:space="preserve">Govind Kumar </t>
  </si>
  <si>
    <t>R1005-025</t>
  </si>
  <si>
    <t>Aminul Shahali Sarkar</t>
  </si>
  <si>
    <t>R1005-026</t>
  </si>
  <si>
    <t>Forkan Miah</t>
  </si>
  <si>
    <t>R1005-027</t>
  </si>
  <si>
    <t>R1005-028</t>
  </si>
  <si>
    <t>Shailesh Barman</t>
  </si>
  <si>
    <t>R1005-029</t>
  </si>
  <si>
    <t>Chand Babu</t>
  </si>
  <si>
    <t>R1005-030</t>
  </si>
  <si>
    <t xml:space="preserve">Yuna Abdulkadir Yusuf </t>
  </si>
  <si>
    <t>AQZ-012-BD2-UB</t>
  </si>
  <si>
    <t>R2006-001</t>
  </si>
  <si>
    <t>SHAKIR</t>
  </si>
  <si>
    <t>SNP-105-B2-LB</t>
  </si>
  <si>
    <t>R2006-002</t>
  </si>
  <si>
    <t>Arshad Khan</t>
  </si>
  <si>
    <t>SNP-105-B1-LB</t>
  </si>
  <si>
    <t>R2006-003</t>
  </si>
  <si>
    <t xml:space="preserve">Asif Nawaz </t>
  </si>
  <si>
    <t>SNP-1065-B2-UB</t>
  </si>
  <si>
    <t>R2006-004</t>
  </si>
  <si>
    <t>R2007-005</t>
  </si>
  <si>
    <t>CLETUS</t>
  </si>
  <si>
    <t>SNP-106-BD2-UB</t>
  </si>
  <si>
    <t>R2007-006</t>
  </si>
  <si>
    <t>Shanto Miah</t>
  </si>
  <si>
    <t>SNP-106-BD2-LB</t>
  </si>
  <si>
    <t>R2007-007</t>
  </si>
  <si>
    <t>China Srinu Kukkala</t>
  </si>
  <si>
    <t>SNP-106-BD1-LB</t>
  </si>
  <si>
    <t>R2007-008</t>
  </si>
  <si>
    <t xml:space="preserve">Chala Awel Kasim </t>
  </si>
  <si>
    <t>SNP-106-BD1-UB</t>
  </si>
  <si>
    <t>R2008-009</t>
  </si>
  <si>
    <t>Mohammad Bilal</t>
  </si>
  <si>
    <t>SNP-107-BD1-LB</t>
  </si>
  <si>
    <t>R2008-010</t>
  </si>
  <si>
    <t>Hasan Nawaz</t>
  </si>
  <si>
    <t>SNP-107-BD2-LB</t>
  </si>
  <si>
    <t>R2008-011</t>
  </si>
  <si>
    <t xml:space="preserve">Ali Faisal </t>
  </si>
  <si>
    <t>SNP-107-BD1-UB</t>
  </si>
  <si>
    <t>R2008-012</t>
  </si>
  <si>
    <t>SNP-107-BD2-UB</t>
  </si>
  <si>
    <t>R3009-001</t>
  </si>
  <si>
    <t xml:space="preserve">Shakil Ahmed </t>
  </si>
  <si>
    <t>LS-6038</t>
  </si>
  <si>
    <t>JBL-230-BED5-LB</t>
  </si>
  <si>
    <t>R3009-002</t>
  </si>
  <si>
    <t>Mubarek Mohammed</t>
  </si>
  <si>
    <t>LS-6082</t>
  </si>
  <si>
    <t>JBL-230-BD3-LB</t>
  </si>
  <si>
    <t>R3009-003</t>
  </si>
  <si>
    <t>Gurvinder Singh</t>
  </si>
  <si>
    <t>JBL-230-BD4-UB</t>
  </si>
  <si>
    <t>R3009-004</t>
  </si>
  <si>
    <t>Umar Faroq</t>
  </si>
  <si>
    <t>JBL-230-BD1-LB</t>
  </si>
  <si>
    <t>R3009-005</t>
  </si>
  <si>
    <t>Gurvinder Singh Sarbajith</t>
  </si>
  <si>
    <t>JBL-230-BD2-LB</t>
  </si>
  <si>
    <t>R3009-006</t>
  </si>
  <si>
    <t>Nazir Hakim Said</t>
  </si>
  <si>
    <t>JBL-230-BD4-LB</t>
  </si>
  <si>
    <t>R3009-007</t>
  </si>
  <si>
    <t xml:space="preserve">Anzar Ali </t>
  </si>
  <si>
    <t>R3009-008</t>
  </si>
  <si>
    <t>R3009-009</t>
  </si>
  <si>
    <t>R3010-010</t>
  </si>
  <si>
    <t>Rajab Hussain</t>
  </si>
  <si>
    <t>JBL-237-BD4-LB</t>
  </si>
  <si>
    <t>R3010-011</t>
  </si>
  <si>
    <t>Falak Shair</t>
  </si>
  <si>
    <t>R3010-012</t>
  </si>
  <si>
    <t>Muhammad Ibrahim</t>
  </si>
  <si>
    <t>R3010-013</t>
  </si>
  <si>
    <t xml:space="preserve">Kashif Hussain Shah </t>
  </si>
  <si>
    <t>R3010-014</t>
  </si>
  <si>
    <t>Rafaqat Hussain Shah</t>
  </si>
  <si>
    <t>R3010-015</t>
  </si>
  <si>
    <t>Bashir Ahmad Koro</t>
  </si>
  <si>
    <t>R3010-016</t>
  </si>
  <si>
    <t>R3010-017</t>
  </si>
  <si>
    <t>R3010-018</t>
  </si>
  <si>
    <t>R3010-019</t>
  </si>
  <si>
    <t>R3011-020</t>
  </si>
  <si>
    <t>Ganesh Oli</t>
  </si>
  <si>
    <t>JBL-242-BD4-LB</t>
  </si>
  <si>
    <t>R3011-021</t>
  </si>
  <si>
    <t>Jakkir Hussain</t>
  </si>
  <si>
    <t>JBL-242-BD5-LB</t>
  </si>
  <si>
    <t>R3011-022</t>
  </si>
  <si>
    <t>Rajendar Banavath</t>
  </si>
  <si>
    <t>JBL-242-BD3-LB</t>
  </si>
  <si>
    <t>R3011-023</t>
  </si>
  <si>
    <t>Sajan</t>
  </si>
  <si>
    <t>JBL-242-BD2-LB</t>
  </si>
  <si>
    <t>R3011-024</t>
  </si>
  <si>
    <t>Ganghadar</t>
  </si>
  <si>
    <t>JBL-242-BD5-UB</t>
  </si>
  <si>
    <t>R3011-025</t>
  </si>
  <si>
    <t>Maruthi Surya Vamshi</t>
  </si>
  <si>
    <t>R3011-026</t>
  </si>
  <si>
    <t>Dilip Gond</t>
  </si>
  <si>
    <t>JBL-242-BD2-UB</t>
  </si>
  <si>
    <t>R3011-027</t>
  </si>
  <si>
    <t>David Kalema</t>
  </si>
  <si>
    <t>JBL-242-BD1-LB</t>
  </si>
  <si>
    <t>R3011-028</t>
  </si>
  <si>
    <t>Roland Ashaba</t>
  </si>
  <si>
    <t>JBL-242-BD4-UB</t>
  </si>
  <si>
    <t>R3011-029</t>
  </si>
  <si>
    <t>Abdullatif Husen Gemechu</t>
  </si>
  <si>
    <t>R2012-013</t>
  </si>
  <si>
    <t>Rajesh Namala</t>
  </si>
  <si>
    <t>SNP-108-BD2-LB</t>
  </si>
  <si>
    <t>R2012-014</t>
  </si>
  <si>
    <t xml:space="preserve">Feleke Teshome Diriba </t>
  </si>
  <si>
    <t>SNP-108-BD1-UB</t>
  </si>
  <si>
    <t>R2012-015</t>
  </si>
  <si>
    <t xml:space="preserve">Temesgen Getachew Negese </t>
  </si>
  <si>
    <t>SNP-108-BD2-UB</t>
  </si>
  <si>
    <t>R2012-016</t>
  </si>
  <si>
    <t xml:space="preserve">Habtemariam Getu Ewawi </t>
  </si>
  <si>
    <t>SNP-108-BD1-LB</t>
  </si>
  <si>
    <t>R2013-017</t>
  </si>
  <si>
    <t>Hamzakhan ikram</t>
  </si>
  <si>
    <t>SNP-109-BD1-LB</t>
  </si>
  <si>
    <t>R2013-018</t>
  </si>
  <si>
    <t>Hazrath Jan</t>
  </si>
  <si>
    <t>SNP-109-BD2-LB</t>
  </si>
  <si>
    <t>R2013-019</t>
  </si>
  <si>
    <t xml:space="preserve">Pramod Vellakuzhy Subramannian </t>
  </si>
  <si>
    <t>R2013-020</t>
  </si>
  <si>
    <t>Nazim</t>
  </si>
  <si>
    <t>LS (G3C) 6010</t>
  </si>
  <si>
    <t>R2014-021</t>
  </si>
  <si>
    <t>Mohammad Jaseem</t>
  </si>
  <si>
    <t>SNP-G072-BD1-LB</t>
  </si>
  <si>
    <t>R2014-022</t>
  </si>
  <si>
    <t>Nazmul Shazaha</t>
  </si>
  <si>
    <t>SNP-G072-BD1-UB</t>
  </si>
  <si>
    <t>R2014-023</t>
  </si>
  <si>
    <t>Abdul Kala</t>
  </si>
  <si>
    <t>SNP-G072-BD2-LB</t>
  </si>
  <si>
    <t>R2014-024</t>
  </si>
  <si>
    <t>Mintu</t>
  </si>
  <si>
    <t>R2015-025</t>
  </si>
  <si>
    <t>Simranjeet</t>
  </si>
  <si>
    <t>SNP-G073-BD2-LB</t>
  </si>
  <si>
    <t>R2015-026</t>
  </si>
  <si>
    <t>Ishak Ssebugenyi</t>
  </si>
  <si>
    <t>SNP-G073-BD1-LB</t>
  </si>
  <si>
    <t>R2015-027</t>
  </si>
  <si>
    <t>Jatin singh</t>
  </si>
  <si>
    <t>SNP-G073-BD1-UB</t>
  </si>
  <si>
    <t>R2015-028</t>
  </si>
  <si>
    <t>Iqbal Singh</t>
  </si>
  <si>
    <t>SNP-G073-BD2-UB</t>
  </si>
  <si>
    <t>R2016-029</t>
  </si>
  <si>
    <t>Khamis Sobhy(LS)</t>
  </si>
  <si>
    <t>LS (G3C) 6049</t>
  </si>
  <si>
    <t>SNP-G024-BD1-LB</t>
  </si>
  <si>
    <t>R2016-030</t>
  </si>
  <si>
    <t>Abdul sawabul</t>
  </si>
  <si>
    <t>LS (G3C) 6063</t>
  </si>
  <si>
    <t>SNP-G024-BD2-LB</t>
  </si>
  <si>
    <t>R2016-031</t>
  </si>
  <si>
    <t>Hulala Fedilu Nuri</t>
  </si>
  <si>
    <t>IP-8071</t>
  </si>
  <si>
    <t>SNP-G024-BD1-UB</t>
  </si>
  <si>
    <t>R2016-032</t>
  </si>
  <si>
    <t>Bala krishna</t>
  </si>
  <si>
    <t>IP-1316</t>
  </si>
  <si>
    <t>R2017-033</t>
  </si>
  <si>
    <t>Muhammad Sajjad Fazal Rehman</t>
  </si>
  <si>
    <t>LS 6072</t>
  </si>
  <si>
    <t>SNP-G025-BD2-LB</t>
  </si>
  <si>
    <t>R2017-034</t>
  </si>
  <si>
    <t>Zubair  Khan</t>
  </si>
  <si>
    <t>SNP-G025-BD1-UB</t>
  </si>
  <si>
    <t>R2017-035</t>
  </si>
  <si>
    <t>Usman Khan</t>
  </si>
  <si>
    <t>SNP-G025-BD1-LB</t>
  </si>
  <si>
    <t>R2017-036</t>
  </si>
  <si>
    <t>Abdullah</t>
  </si>
  <si>
    <t>SNP-G025-BD2-UB</t>
  </si>
  <si>
    <t>R2018-037</t>
  </si>
  <si>
    <t>Desta Hussen</t>
  </si>
  <si>
    <t>LS 6081</t>
  </si>
  <si>
    <t>R2018-038</t>
  </si>
  <si>
    <t xml:space="preserve">Kedir Gena Sure </t>
  </si>
  <si>
    <t>SNP-G26-BD2-LB</t>
  </si>
  <si>
    <t>R2018-039</t>
  </si>
  <si>
    <t>Rebiyu Aboli</t>
  </si>
  <si>
    <t>SNP-G26-BD1-LB</t>
  </si>
  <si>
    <t>R2018-040</t>
  </si>
  <si>
    <t xml:space="preserve">Lalisa Bekuma Likasa </t>
  </si>
  <si>
    <t>SNP-G26-BD1-UB</t>
  </si>
  <si>
    <t>R2019-041</t>
  </si>
  <si>
    <t>Muzayan Aliyi</t>
  </si>
  <si>
    <t>SNP-G27-BD1-UB</t>
  </si>
  <si>
    <t>R2019-042</t>
  </si>
  <si>
    <t>AbdulHakim Mohammed Argo</t>
  </si>
  <si>
    <t>SNP-G27-BD2-UB</t>
  </si>
  <si>
    <t>R2019-043</t>
  </si>
  <si>
    <t xml:space="preserve">Prdeep </t>
  </si>
  <si>
    <t>SNP-G27-BD1-LB</t>
  </si>
  <si>
    <t>R2019-044</t>
  </si>
  <si>
    <t xml:space="preserve">Rajnish </t>
  </si>
  <si>
    <t>SNP-G27-BD2-LB</t>
  </si>
  <si>
    <t>R2020-045</t>
  </si>
  <si>
    <t>Devendar Singh</t>
  </si>
  <si>
    <t>SNP-G33-BD1-UB</t>
  </si>
  <si>
    <t>R2020-046</t>
  </si>
  <si>
    <t>Parvinder Gurtej Singh</t>
  </si>
  <si>
    <t>SNP-G33-BD2-LB</t>
  </si>
  <si>
    <t>R2020-047</t>
  </si>
  <si>
    <t>Ahmed Wermengo Admama</t>
  </si>
  <si>
    <t>SNP-G33-BD1-LB</t>
  </si>
  <si>
    <t>R2020-048</t>
  </si>
  <si>
    <t>SNP-G33-BD2-UB</t>
  </si>
  <si>
    <t>R1021-031</t>
  </si>
  <si>
    <t xml:space="preserve">Daud Shah </t>
  </si>
  <si>
    <t>AQZ-0GF5-BD1-LB</t>
  </si>
  <si>
    <t>R1021-032</t>
  </si>
  <si>
    <t>muhammad Lukman</t>
  </si>
  <si>
    <t>AQZ-0GF5-BD2-LB</t>
  </si>
  <si>
    <t>R1021-033</t>
  </si>
  <si>
    <t>Syed Adil Hussain Sha Maqbool Hussain Sha</t>
  </si>
  <si>
    <t>AQZ-0GF5-BD2-UB</t>
  </si>
  <si>
    <t>R1021-034</t>
  </si>
  <si>
    <t>Hameed Ullah Abdul Ghani</t>
  </si>
  <si>
    <t>AQZ-0GF5-BD3-LB</t>
  </si>
  <si>
    <t>R1021-035</t>
  </si>
  <si>
    <t>Ajmal khan</t>
  </si>
  <si>
    <t>AQZ-0GF5-BD3-UB</t>
  </si>
  <si>
    <t>R1021-036</t>
  </si>
  <si>
    <t>Muhammad Naveed</t>
  </si>
  <si>
    <t>R1022-037</t>
  </si>
  <si>
    <t>Sadeeq Akbar</t>
  </si>
  <si>
    <t>JBL-237-BD3-UB</t>
  </si>
  <si>
    <t>R1022-038</t>
  </si>
  <si>
    <t>Sareer Khalil</t>
  </si>
  <si>
    <t>JBL-134-BD1-LB</t>
  </si>
  <si>
    <t>Full</t>
  </si>
  <si>
    <t>R1022-039</t>
  </si>
  <si>
    <t>Anees Khan</t>
  </si>
  <si>
    <t>JBL-230-BD2-UB</t>
  </si>
  <si>
    <t>R1022-040</t>
  </si>
  <si>
    <t>Umair Khan</t>
  </si>
  <si>
    <t>JBL-134-BD4-LB</t>
  </si>
  <si>
    <t>R1022-041</t>
  </si>
  <si>
    <t>Fazal Amin</t>
  </si>
  <si>
    <t>JBL-242-BD3-UB</t>
  </si>
  <si>
    <t>R1022-042</t>
  </si>
  <si>
    <t>Adil khan</t>
  </si>
  <si>
    <t>R3023-031</t>
  </si>
  <si>
    <t>Yabo Wake</t>
  </si>
  <si>
    <t>R3023-032</t>
  </si>
  <si>
    <t>Tsehaynew Dejen Kassa</t>
  </si>
  <si>
    <t>JBL-134-BD5-UB</t>
  </si>
  <si>
    <t>R3023-033</t>
  </si>
  <si>
    <t xml:space="preserve">Sherif Nesru </t>
  </si>
  <si>
    <t>R3023-034</t>
  </si>
  <si>
    <t>Nuruddin Umer</t>
  </si>
  <si>
    <t>JBL-134-BD3-LB</t>
  </si>
  <si>
    <t>R3023-035</t>
  </si>
  <si>
    <t>JBL-134-BD3-UB</t>
  </si>
  <si>
    <t>R3023-036</t>
  </si>
  <si>
    <t>R3023-037</t>
  </si>
  <si>
    <t>R4024-001</t>
  </si>
  <si>
    <t>AUH-A12-BD1-LB</t>
  </si>
  <si>
    <t>VACATION</t>
  </si>
  <si>
    <t>R4024-002</t>
  </si>
  <si>
    <t>Wahid Ullah</t>
  </si>
  <si>
    <t>LS 6068</t>
  </si>
  <si>
    <t>AUH-A12-BD2-LB</t>
  </si>
  <si>
    <t>full</t>
  </si>
  <si>
    <t>R4024-003</t>
  </si>
  <si>
    <t>Ekena Kenneth</t>
  </si>
  <si>
    <t>AUH-A12-BD3-LB</t>
  </si>
  <si>
    <t>R4024-004</t>
  </si>
  <si>
    <t>Muhammad Zahid</t>
  </si>
  <si>
    <t>AUH-A12-BD2-UB</t>
  </si>
  <si>
    <t>R4024-005</t>
  </si>
  <si>
    <t>Waqas Ali</t>
  </si>
  <si>
    <t>R4024-006</t>
  </si>
  <si>
    <t>Muhammad Shahzad(DRIVER)</t>
  </si>
  <si>
    <t>R4024-007</t>
  </si>
  <si>
    <t>Wasee Ullah</t>
  </si>
  <si>
    <t>R4024-008</t>
  </si>
  <si>
    <t>Imed Hussen</t>
  </si>
  <si>
    <t>R4024-009</t>
  </si>
  <si>
    <t>Sohail Fazal Sanam</t>
  </si>
  <si>
    <t>R4024-010</t>
  </si>
  <si>
    <t>R2025-049</t>
  </si>
  <si>
    <t xml:space="preserve"> Shah  Faisal</t>
  </si>
  <si>
    <t>R2025-050</t>
  </si>
  <si>
    <t>Anwar Zaman</t>
  </si>
  <si>
    <t>R2025-051</t>
  </si>
  <si>
    <t>Hamid Ali</t>
  </si>
  <si>
    <t>R2025-052</t>
  </si>
  <si>
    <t>Afra Sayab Khan</t>
  </si>
  <si>
    <t>R2026-053</t>
  </si>
  <si>
    <t>Suresh Badugu</t>
  </si>
  <si>
    <t>R2026-054</t>
  </si>
  <si>
    <t>Shiva Kumar</t>
  </si>
  <si>
    <t>R2026-055</t>
  </si>
  <si>
    <t>Narsaiah</t>
  </si>
  <si>
    <t>R2026-056</t>
  </si>
  <si>
    <t>Sravan Kumar</t>
  </si>
  <si>
    <t>R3027-048</t>
  </si>
  <si>
    <t>Danish Ali</t>
  </si>
  <si>
    <t>JBL-306-BD2-LB</t>
  </si>
  <si>
    <t>R3027-049</t>
  </si>
  <si>
    <t>Muhammad Basharat</t>
  </si>
  <si>
    <t>R3027-050</t>
  </si>
  <si>
    <t>Ashif Salim</t>
  </si>
  <si>
    <t>R3027-051</t>
  </si>
  <si>
    <t>Zain Ullah</t>
  </si>
  <si>
    <t>R3027-052</t>
  </si>
  <si>
    <t xml:space="preserve">Yar Jan </t>
  </si>
  <si>
    <t>JBL-306-BD2-UP</t>
  </si>
  <si>
    <t>R3027-053</t>
  </si>
  <si>
    <t xml:space="preserve">Mazad Baloch </t>
  </si>
  <si>
    <t>R3027-054</t>
  </si>
  <si>
    <t>Mohammad Samir</t>
  </si>
  <si>
    <t>R3027-055</t>
  </si>
  <si>
    <t>R5028-0001</t>
  </si>
  <si>
    <t>Alkadir Muhammad</t>
  </si>
  <si>
    <t>LS 6073</t>
  </si>
  <si>
    <t>R5028-0002</t>
  </si>
  <si>
    <t>Musa Bunki</t>
  </si>
  <si>
    <t>LS 6076</t>
  </si>
  <si>
    <t>R5028-0003</t>
  </si>
  <si>
    <t>Negeso Gemeda</t>
  </si>
  <si>
    <t>LS 6077</t>
  </si>
  <si>
    <t>R5028-0004</t>
  </si>
  <si>
    <t>Noor Shah</t>
  </si>
  <si>
    <t>R5028-0005</t>
  </si>
  <si>
    <t>Gul fam</t>
  </si>
  <si>
    <t>R5028-0006</t>
  </si>
  <si>
    <t xml:space="preserve">Ameer Hamza </t>
  </si>
  <si>
    <t>R5028-0007</t>
  </si>
  <si>
    <t>Ali Muhammad Khan</t>
  </si>
  <si>
    <t>R5028-0008</t>
  </si>
  <si>
    <t xml:space="preserve">Kasahun Tesema </t>
  </si>
  <si>
    <t>R5028-0009</t>
  </si>
  <si>
    <t>Usman Ali</t>
  </si>
  <si>
    <t>R5029-010</t>
  </si>
  <si>
    <t xml:space="preserve">Abdi Aman Sheru </t>
  </si>
  <si>
    <t>LS 6098</t>
  </si>
  <si>
    <t>R5029-011</t>
  </si>
  <si>
    <t>Dinesh Kumar</t>
  </si>
  <si>
    <t>R5029-012</t>
  </si>
  <si>
    <t xml:space="preserve">Rais Ahmad </t>
  </si>
  <si>
    <t>R5029-013</t>
  </si>
  <si>
    <t>Abdi Shimels Bekele</t>
  </si>
  <si>
    <t>R5029-014</t>
  </si>
  <si>
    <t>Fikadu Taye Demse</t>
  </si>
  <si>
    <t>R5029-015</t>
  </si>
  <si>
    <t>Abdulbasit Abazinab Abafogi</t>
  </si>
  <si>
    <t>R5029-016</t>
  </si>
  <si>
    <t>Halefom Berhe Kidanemariam</t>
  </si>
  <si>
    <t>R5029-017</t>
  </si>
  <si>
    <t>Sebsib Ababiya Kedir</t>
  </si>
  <si>
    <t>R5029-018</t>
  </si>
  <si>
    <t>R5029-019</t>
  </si>
  <si>
    <t>R5030-020</t>
  </si>
  <si>
    <t>Salim</t>
  </si>
  <si>
    <t>R5030-021</t>
  </si>
  <si>
    <t>Vacant</t>
  </si>
  <si>
    <t>R5030-022</t>
  </si>
  <si>
    <t>R5030-023</t>
  </si>
  <si>
    <t>R5030-024</t>
  </si>
  <si>
    <t>R5030-025</t>
  </si>
  <si>
    <t>R5030-026</t>
  </si>
  <si>
    <t>R5030-027</t>
  </si>
  <si>
    <t>R5030-028</t>
  </si>
  <si>
    <t>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</si>
</sst>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6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1"/>
      <name val="Calibri"/>
      <family val="2"/>
    </font>
    <font>
      <b/>
      <sz val="18"/>
      <color theme="1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Book Antiqua"/>
      <family val="1"/>
    </font>
    <font>
      <sz val="10"/>
      <name val="Arial"/>
      <family val="2"/>
    </font>
    <font>
      <sz val="10"/>
      <name val="Calibri Light"/>
      <family val="1"/>
      <scheme val="major"/>
    </font>
    <font>
      <sz val="10"/>
      <name val="Book Antiqua"/>
      <family val="1"/>
    </font>
    <font>
      <sz val="11"/>
      <color theme="1"/>
      <name val="Book Antiqua"/>
      <family val="1"/>
    </font>
    <font>
      <sz val="11"/>
      <name val="Calibri"/>
      <family val="2"/>
      <scheme val="minor"/>
    </font>
    <font>
      <sz val="11"/>
      <color rgb="FF000000"/>
      <name val="Segoe UI Variable Small"/>
    </font>
    <font>
      <sz val="11"/>
      <color rgb="FF000000"/>
      <name val="&quot;Century Gothic&quot;"/>
    </font>
    <font>
      <sz val="11"/>
      <color rgb="FF000000"/>
      <name val="Book Antiqua"/>
      <family val="1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DE9D9"/>
        <bgColor rgb="FFFDE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6" fillId="0" borderId="0" applyNumberFormat="0" applyFill="0" applyBorder="0" applyAlignment="0" applyProtection="0"/>
    <xf numFmtId="0" fontId="16" fillId="0" borderId="0"/>
  </cellStyleXfs>
  <cellXfs count="85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0" borderId="0" xfId="0" applyFont="1" applyAlignment="1"/>
    <xf numFmtId="0" fontId="6" fillId="0" borderId="0" xfId="2" quotePrefix="1"/>
    <xf numFmtId="0" fontId="7" fillId="0" borderId="2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5" fontId="7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164" fontId="7" fillId="0" borderId="3" xfId="0" applyNumberFormat="1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5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0" borderId="2" xfId="2" applyBorder="1" applyAlignment="1">
      <alignment horizontal="center" vertical="center"/>
    </xf>
    <xf numFmtId="0" fontId="5" fillId="0" borderId="0" xfId="0" applyFont="1" applyAlignment="1"/>
    <xf numFmtId="0" fontId="5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7" borderId="6" xfId="0" applyFont="1" applyFill="1" applyBorder="1" applyAlignment="1">
      <alignment horizontal="center"/>
    </xf>
    <xf numFmtId="0" fontId="14" fillId="0" borderId="5" xfId="0" applyFont="1" applyBorder="1" applyAlignment="1"/>
    <xf numFmtId="0" fontId="15" fillId="8" borderId="7" xfId="0" applyFont="1" applyFill="1" applyBorder="1"/>
    <xf numFmtId="0" fontId="15" fillId="8" borderId="7" xfId="0" applyFont="1" applyFill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5" fillId="0" borderId="7" xfId="0" applyFont="1" applyFill="1" applyBorder="1"/>
    <xf numFmtId="0" fontId="17" fillId="0" borderId="7" xfId="3" applyFont="1" applyFill="1" applyBorder="1" applyAlignment="1">
      <alignment horizontal="center" vertical="center" wrapText="1"/>
    </xf>
    <xf numFmtId="0" fontId="14" fillId="0" borderId="8" xfId="0" applyFont="1" applyBorder="1" applyAlignment="1"/>
    <xf numFmtId="0" fontId="18" fillId="0" borderId="7" xfId="0" applyFont="1" applyFill="1" applyBorder="1" applyAlignment="1">
      <alignment horizontal="center"/>
    </xf>
    <xf numFmtId="0" fontId="15" fillId="0" borderId="7" xfId="0" applyFont="1" applyFill="1" applyBorder="1" applyAlignment="1">
      <alignment horizontal="center"/>
    </xf>
    <xf numFmtId="0" fontId="14" fillId="0" borderId="6" xfId="0" applyFont="1" applyBorder="1" applyAlignment="1">
      <alignment horizontal="right"/>
    </xf>
    <xf numFmtId="0" fontId="14" fillId="0" borderId="6" xfId="0" applyFont="1" applyBorder="1" applyAlignment="1"/>
    <xf numFmtId="0" fontId="13" fillId="7" borderId="2" xfId="0" applyFont="1" applyFill="1" applyBorder="1" applyAlignment="1">
      <alignment vertical="center"/>
    </xf>
    <xf numFmtId="0" fontId="13" fillId="7" borderId="6" xfId="0" applyFont="1" applyFill="1" applyBorder="1" applyAlignment="1">
      <alignment vertical="center"/>
    </xf>
    <xf numFmtId="0" fontId="13" fillId="7" borderId="6" xfId="0" applyFont="1" applyFill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5" fillId="8" borderId="7" xfId="0" applyFont="1" applyFill="1" applyBorder="1" applyAlignment="1">
      <alignment vertical="center"/>
    </xf>
    <xf numFmtId="0" fontId="15" fillId="8" borderId="7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5" fillId="0" borderId="7" xfId="0" applyFont="1" applyFill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8" fillId="0" borderId="7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0" borderId="8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8" fillId="0" borderId="7" xfId="0" applyFont="1" applyFill="1" applyBorder="1"/>
    <xf numFmtId="0" fontId="19" fillId="0" borderId="7" xfId="0" applyFont="1" applyFill="1" applyBorder="1"/>
    <xf numFmtId="0" fontId="15" fillId="0" borderId="9" xfId="0" applyFont="1" applyFill="1" applyBorder="1" applyAlignment="1">
      <alignment horizontal="center"/>
    </xf>
    <xf numFmtId="0" fontId="20" fillId="0" borderId="7" xfId="0" applyFont="1" applyFill="1" applyBorder="1"/>
    <xf numFmtId="0" fontId="19" fillId="0" borderId="7" xfId="0" applyFont="1" applyFill="1" applyBorder="1" applyAlignment="1">
      <alignment horizontal="center"/>
    </xf>
    <xf numFmtId="0" fontId="14" fillId="0" borderId="8" xfId="0" applyFont="1" applyBorder="1" applyAlignment="1">
      <alignment horizontal="right"/>
    </xf>
    <xf numFmtId="0" fontId="15" fillId="0" borderId="7" xfId="0" applyFont="1" applyFill="1" applyBorder="1" applyAlignment="1">
      <alignment vertical="center" wrapText="1"/>
    </xf>
    <xf numFmtId="0" fontId="14" fillId="0" borderId="2" xfId="0" applyFont="1" applyBorder="1" applyAlignment="1"/>
    <xf numFmtId="0" fontId="0" fillId="0" borderId="7" xfId="0" applyFill="1" applyBorder="1"/>
    <xf numFmtId="0" fontId="1" fillId="0" borderId="2" xfId="0" applyFont="1" applyBorder="1"/>
    <xf numFmtId="0" fontId="15" fillId="0" borderId="9" xfId="0" applyFont="1" applyFill="1" applyBorder="1"/>
    <xf numFmtId="0" fontId="17" fillId="0" borderId="9" xfId="3" applyFont="1" applyFill="1" applyBorder="1" applyAlignment="1">
      <alignment horizontal="center" vertical="center" wrapText="1"/>
    </xf>
    <xf numFmtId="0" fontId="14" fillId="0" borderId="10" xfId="0" applyFont="1" applyBorder="1" applyAlignment="1"/>
    <xf numFmtId="0" fontId="0" fillId="0" borderId="7" xfId="0" applyFont="1" applyBorder="1" applyAlignment="1"/>
    <xf numFmtId="0" fontId="15" fillId="0" borderId="11" xfId="0" applyFont="1" applyFill="1" applyBorder="1"/>
    <xf numFmtId="0" fontId="17" fillId="0" borderId="11" xfId="3" applyFont="1" applyFill="1" applyBorder="1" applyAlignment="1">
      <alignment horizontal="center" vertical="center" wrapText="1"/>
    </xf>
    <xf numFmtId="0" fontId="14" fillId="0" borderId="7" xfId="0" applyFont="1" applyFill="1" applyBorder="1" applyAlignment="1"/>
    <xf numFmtId="0" fontId="0" fillId="0" borderId="7" xfId="0" applyFont="1" applyFill="1" applyBorder="1" applyAlignment="1"/>
    <xf numFmtId="0" fontId="14" fillId="0" borderId="0" xfId="0" applyFont="1" applyAlignment="1">
      <alignment horizontal="right"/>
    </xf>
    <xf numFmtId="0" fontId="14" fillId="0" borderId="7" xfId="0" applyFont="1" applyBorder="1" applyAlignment="1"/>
    <xf numFmtId="0" fontId="14" fillId="0" borderId="7" xfId="0" applyFont="1" applyBorder="1" applyAlignment="1">
      <alignment horizontal="right"/>
    </xf>
    <xf numFmtId="0" fontId="17" fillId="0" borderId="7" xfId="3" applyFont="1" applyBorder="1" applyAlignment="1">
      <alignment horizontal="center" vertical="center" wrapText="1"/>
    </xf>
    <xf numFmtId="0" fontId="21" fillId="8" borderId="7" xfId="0" applyFont="1" applyFill="1" applyBorder="1" applyAlignment="1">
      <alignment vertical="center" wrapText="1"/>
    </xf>
    <xf numFmtId="0" fontId="19" fillId="0" borderId="1" xfId="0" applyFont="1" applyFill="1" applyBorder="1"/>
    <xf numFmtId="0" fontId="14" fillId="5" borderId="8" xfId="0" applyFont="1" applyFill="1" applyBorder="1" applyAlignment="1"/>
    <xf numFmtId="0" fontId="22" fillId="0" borderId="5" xfId="0" applyFont="1" applyBorder="1" applyAlignment="1"/>
    <xf numFmtId="0" fontId="1" fillId="0" borderId="8" xfId="0" applyFont="1" applyBorder="1"/>
    <xf numFmtId="0" fontId="15" fillId="0" borderId="7" xfId="0" applyFont="1" applyFill="1" applyBorder="1" applyAlignment="1">
      <alignment horizontal="left"/>
    </xf>
    <xf numFmtId="0" fontId="15" fillId="0" borderId="1" xfId="1" applyFont="1" applyFill="1" applyBorder="1" applyAlignment="1">
      <alignment vertical="center" wrapText="1"/>
    </xf>
    <xf numFmtId="0" fontId="23" fillId="8" borderId="7" xfId="0" applyFont="1" applyFill="1" applyBorder="1" applyAlignment="1">
      <alignment vertical="center"/>
    </xf>
    <xf numFmtId="0" fontId="23" fillId="8" borderId="7" xfId="0" applyFont="1" applyFill="1" applyBorder="1" applyAlignment="1">
      <alignment horizontal="center" vertical="center"/>
    </xf>
    <xf numFmtId="0" fontId="22" fillId="0" borderId="2" xfId="0" applyFont="1" applyBorder="1" applyAlignment="1"/>
    <xf numFmtId="0" fontId="13" fillId="7" borderId="12" xfId="0" applyFont="1" applyFill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5" fillId="0" borderId="12" xfId="0" applyFont="1" applyBorder="1"/>
  </cellXfs>
  <cellStyles count="4">
    <cellStyle name="Hyperlink" xfId="2" builtinId="8"/>
    <cellStyle name="Normal" xfId="0" builtinId="0"/>
    <cellStyle name="Normal 7" xfId="3"/>
    <cellStyle name="Output" xfId="1" builtinId="21"/>
  </cellStyles>
  <dxfs count="2">
    <dxf>
      <fill>
        <patternFill patternType="solid">
          <fgColor rgb="FF92D050"/>
          <bgColor rgb="FF92D050"/>
        </patternFill>
      </fill>
    </dxf>
    <dxf>
      <fill>
        <patternFill patternType="solid">
          <fgColor rgb="FFD99594"/>
          <bgColor rgb="FFD9959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ff%20Accomodation%20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Leave"/>
      <sheetName val="R.Shift"/>
      <sheetName val="Room 1-Al 06"/>
      <sheetName val="Room 2-Al 07"/>
      <sheetName val="Room 3-Al-08"/>
      <sheetName val="Room 4-Al 12"/>
      <sheetName val="Room 5-Al 17"/>
      <sheetName val="Room 6 -S 105"/>
      <sheetName val="Room 7 -S 106"/>
      <sheetName val="Room 8-S 107"/>
      <sheetName val="Room 9 -J 230"/>
      <sheetName val="Room 10-J 237"/>
      <sheetName val="Room 11-J 242"/>
      <sheetName val="Room 12-S 108"/>
      <sheetName val="Room 13-S 109"/>
      <sheetName val="Room 14-S 72"/>
      <sheetName val="Room 15-S-73"/>
      <sheetName val="Room 16-S 24"/>
      <sheetName val="Room 17-S 25"/>
      <sheetName val="Room 18-S 26"/>
      <sheetName val="Room 19-S 27"/>
      <sheetName val="Room 20-S 33"/>
      <sheetName val="Room 21-Al gf 05"/>
      <sheetName val="Room 22-Al gf-06"/>
      <sheetName val="Room 23-J 134"/>
      <sheetName val="Room 24-AD Musaff-A12"/>
      <sheetName val="Room 25-S 79"/>
      <sheetName val="Room 26-S 80"/>
      <sheetName val="Room 27-J 306"/>
      <sheetName val="Room 28-Aj 01"/>
      <sheetName val="Room 29-Aj 02"/>
      <sheetName val="Room 30-Aj 03"/>
      <sheetName val="Sheet1"/>
    </sheetNames>
    <sheetDataSet>
      <sheetData sheetId="0" refreshError="1"/>
      <sheetData sheetId="1">
        <row r="19">
          <cell r="C19">
            <v>0</v>
          </cell>
          <cell r="D19">
            <v>3</v>
          </cell>
          <cell r="E19">
            <v>0</v>
          </cell>
        </row>
      </sheetData>
      <sheetData sheetId="2" refreshError="1"/>
      <sheetData sheetId="3">
        <row r="10">
          <cell r="B10">
            <v>5</v>
          </cell>
        </row>
      </sheetData>
      <sheetData sheetId="4">
        <row r="11">
          <cell r="B11">
            <v>6</v>
          </cell>
        </row>
      </sheetData>
      <sheetData sheetId="5">
        <row r="10">
          <cell r="B10">
            <v>5</v>
          </cell>
        </row>
      </sheetData>
      <sheetData sheetId="6">
        <row r="10">
          <cell r="B10">
            <v>6</v>
          </cell>
        </row>
      </sheetData>
      <sheetData sheetId="7">
        <row r="10">
          <cell r="B10">
            <v>5</v>
          </cell>
        </row>
      </sheetData>
      <sheetData sheetId="8">
        <row r="7">
          <cell r="B7">
            <v>3</v>
          </cell>
        </row>
      </sheetData>
      <sheetData sheetId="9">
        <row r="7">
          <cell r="B7">
            <v>4</v>
          </cell>
        </row>
      </sheetData>
      <sheetData sheetId="10">
        <row r="7">
          <cell r="B7">
            <v>3</v>
          </cell>
        </row>
      </sheetData>
      <sheetData sheetId="11">
        <row r="13">
          <cell r="B13">
            <v>7</v>
          </cell>
        </row>
      </sheetData>
      <sheetData sheetId="12">
        <row r="13">
          <cell r="B13">
            <v>6</v>
          </cell>
        </row>
      </sheetData>
      <sheetData sheetId="13">
        <row r="13">
          <cell r="B13">
            <v>10</v>
          </cell>
        </row>
      </sheetData>
      <sheetData sheetId="14">
        <row r="7">
          <cell r="B7">
            <v>4</v>
          </cell>
        </row>
      </sheetData>
      <sheetData sheetId="15">
        <row r="7">
          <cell r="B7">
            <v>4</v>
          </cell>
        </row>
      </sheetData>
      <sheetData sheetId="16">
        <row r="7">
          <cell r="B7">
            <v>4</v>
          </cell>
        </row>
      </sheetData>
      <sheetData sheetId="17">
        <row r="7">
          <cell r="B7">
            <v>4</v>
          </cell>
        </row>
      </sheetData>
      <sheetData sheetId="18">
        <row r="7">
          <cell r="B7">
            <v>4</v>
          </cell>
        </row>
      </sheetData>
      <sheetData sheetId="19">
        <row r="7">
          <cell r="B7">
            <v>4</v>
          </cell>
        </row>
      </sheetData>
      <sheetData sheetId="20">
        <row r="7">
          <cell r="B7">
            <v>4</v>
          </cell>
        </row>
      </sheetData>
      <sheetData sheetId="21">
        <row r="7">
          <cell r="B7">
            <v>4</v>
          </cell>
        </row>
      </sheetData>
      <sheetData sheetId="22">
        <row r="7">
          <cell r="B7">
            <v>3</v>
          </cell>
        </row>
      </sheetData>
      <sheetData sheetId="23">
        <row r="10">
          <cell r="B10">
            <v>6</v>
          </cell>
        </row>
      </sheetData>
      <sheetData sheetId="24">
        <row r="10">
          <cell r="B10">
            <v>6</v>
          </cell>
        </row>
      </sheetData>
      <sheetData sheetId="25">
        <row r="13">
          <cell r="B13">
            <v>5</v>
          </cell>
        </row>
      </sheetData>
      <sheetData sheetId="26">
        <row r="13">
          <cell r="B13">
            <v>9</v>
          </cell>
        </row>
      </sheetData>
      <sheetData sheetId="27">
        <row r="7">
          <cell r="B7">
            <v>4</v>
          </cell>
        </row>
      </sheetData>
      <sheetData sheetId="28">
        <row r="7">
          <cell r="B7">
            <v>4</v>
          </cell>
        </row>
      </sheetData>
      <sheetData sheetId="29">
        <row r="11">
          <cell r="B11">
            <v>7</v>
          </cell>
        </row>
      </sheetData>
      <sheetData sheetId="30">
        <row r="12">
          <cell r="B12">
            <v>9</v>
          </cell>
        </row>
      </sheetData>
      <sheetData sheetId="31">
        <row r="13">
          <cell r="B13">
            <v>8</v>
          </cell>
        </row>
      </sheetData>
      <sheetData sheetId="32">
        <row r="12">
          <cell r="B12">
            <v>1</v>
          </cell>
        </row>
      </sheetData>
      <sheetData sheetId="3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5"/>
  <sheetViews>
    <sheetView topLeftCell="A13" zoomScale="81" zoomScaleNormal="81" workbookViewId="0">
      <selection activeCell="B29" activeCellId="1" sqref="J29 B29"/>
    </sheetView>
  </sheetViews>
  <sheetFormatPr defaultColWidth="14.453125" defaultRowHeight="14.5"/>
  <cols>
    <col min="1" max="1" width="18" style="5" customWidth="1"/>
    <col min="2" max="2" width="16.7265625" style="5" customWidth="1"/>
    <col min="3" max="3" width="14.54296875" style="5" customWidth="1"/>
    <col min="4" max="4" width="15" style="5" customWidth="1"/>
    <col min="5" max="5" width="10.81640625" style="5" customWidth="1"/>
    <col min="6" max="6" width="17" style="5" customWidth="1"/>
    <col min="7" max="7" width="10.1796875" style="5" customWidth="1"/>
    <col min="8" max="8" width="19" style="5" customWidth="1"/>
    <col min="9" max="9" width="20" style="5" customWidth="1"/>
    <col min="10" max="10" width="28.1796875" style="5" customWidth="1"/>
    <col min="11" max="26" width="8.7265625" style="5" customWidth="1"/>
    <col min="27" max="16384" width="14.453125" style="5"/>
  </cols>
  <sheetData>
    <row r="1" spans="1:26" ht="16.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6" t="s">
        <v>10</v>
      </c>
      <c r="B2" s="7" t="s">
        <v>11</v>
      </c>
      <c r="C2" s="8">
        <v>6</v>
      </c>
      <c r="D2" s="7" t="s">
        <v>12</v>
      </c>
      <c r="E2" s="9">
        <v>46387</v>
      </c>
      <c r="F2" s="10" t="s">
        <v>8</v>
      </c>
      <c r="G2" s="7">
        <v>6</v>
      </c>
      <c r="H2" s="7">
        <f>'[1]Room 1-Al 06'!B10</f>
        <v>5</v>
      </c>
      <c r="I2" s="7">
        <f t="shared" ref="I2:I34" si="0">G2-H2</f>
        <v>1</v>
      </c>
      <c r="J2" s="4" t="s">
        <v>13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>
      <c r="A3" s="6" t="s">
        <v>14</v>
      </c>
      <c r="B3" s="7" t="s">
        <v>11</v>
      </c>
      <c r="C3" s="8">
        <v>7</v>
      </c>
      <c r="D3" s="7" t="s">
        <v>12</v>
      </c>
      <c r="E3" s="11"/>
      <c r="F3" s="11"/>
      <c r="G3" s="7">
        <v>6</v>
      </c>
      <c r="H3" s="7">
        <f>'[1]Room 2-Al 07'!B11</f>
        <v>6</v>
      </c>
      <c r="I3" s="7">
        <f t="shared" si="0"/>
        <v>0</v>
      </c>
      <c r="J3" s="4" t="s">
        <v>13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>
      <c r="A4" s="6" t="s">
        <v>15</v>
      </c>
      <c r="B4" s="7" t="s">
        <v>11</v>
      </c>
      <c r="C4" s="8">
        <v>8</v>
      </c>
      <c r="D4" s="7" t="s">
        <v>12</v>
      </c>
      <c r="E4" s="11"/>
      <c r="F4" s="11"/>
      <c r="G4" s="7">
        <v>6</v>
      </c>
      <c r="H4" s="7">
        <f>'[1]Room 3-Al-08'!B10</f>
        <v>5</v>
      </c>
      <c r="I4" s="7">
        <f t="shared" si="0"/>
        <v>1</v>
      </c>
      <c r="J4" s="4" t="s">
        <v>13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>
      <c r="A5" s="6" t="s">
        <v>16</v>
      </c>
      <c r="B5" s="7" t="s">
        <v>11</v>
      </c>
      <c r="C5" s="8">
        <v>12</v>
      </c>
      <c r="D5" s="7" t="s">
        <v>12</v>
      </c>
      <c r="E5" s="11"/>
      <c r="F5" s="11"/>
      <c r="G5" s="7">
        <v>6</v>
      </c>
      <c r="H5" s="7">
        <f>'[1]Room 4-Al 12'!B10</f>
        <v>6</v>
      </c>
      <c r="I5" s="7">
        <f t="shared" si="0"/>
        <v>0</v>
      </c>
      <c r="J5" s="4" t="s">
        <v>13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>
      <c r="A6" s="6" t="s">
        <v>17</v>
      </c>
      <c r="B6" s="7" t="s">
        <v>11</v>
      </c>
      <c r="C6" s="8">
        <v>17</v>
      </c>
      <c r="D6" s="7" t="s">
        <v>12</v>
      </c>
      <c r="E6" s="12"/>
      <c r="F6" s="12"/>
      <c r="G6" s="7">
        <v>6</v>
      </c>
      <c r="H6" s="7">
        <f>'[1]Room 5-Al 17'!B10</f>
        <v>5</v>
      </c>
      <c r="I6" s="7">
        <f t="shared" si="0"/>
        <v>1</v>
      </c>
      <c r="J6" s="4" t="s">
        <v>13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>
      <c r="A7" s="6" t="s">
        <v>18</v>
      </c>
      <c r="B7" s="7" t="s">
        <v>19</v>
      </c>
      <c r="C7" s="8">
        <v>105</v>
      </c>
      <c r="D7" s="7" t="s">
        <v>12</v>
      </c>
      <c r="E7" s="13">
        <v>46227</v>
      </c>
      <c r="F7" s="10" t="s">
        <v>8</v>
      </c>
      <c r="G7" s="14">
        <v>4</v>
      </c>
      <c r="H7" s="7">
        <f>'[1]Room 6 -S 105'!B7</f>
        <v>3</v>
      </c>
      <c r="I7" s="7">
        <f t="shared" si="0"/>
        <v>1</v>
      </c>
      <c r="J7" s="4" t="s">
        <v>20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>
      <c r="A8" s="6" t="s">
        <v>21</v>
      </c>
      <c r="B8" s="7" t="s">
        <v>19</v>
      </c>
      <c r="C8" s="8">
        <v>106</v>
      </c>
      <c r="D8" s="7" t="s">
        <v>12</v>
      </c>
      <c r="E8" s="11"/>
      <c r="F8" s="11"/>
      <c r="G8" s="14">
        <v>4</v>
      </c>
      <c r="H8" s="7">
        <f>'[1]Room 7 -S 106'!B7</f>
        <v>4</v>
      </c>
      <c r="I8" s="7">
        <f t="shared" si="0"/>
        <v>0</v>
      </c>
      <c r="J8" s="4" t="s">
        <v>20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>
      <c r="A9" s="6" t="s">
        <v>22</v>
      </c>
      <c r="B9" s="7" t="s">
        <v>19</v>
      </c>
      <c r="C9" s="8">
        <v>107</v>
      </c>
      <c r="D9" s="7" t="s">
        <v>12</v>
      </c>
      <c r="E9" s="12"/>
      <c r="F9" s="12"/>
      <c r="G9" s="14">
        <v>4</v>
      </c>
      <c r="H9" s="7">
        <f>'[1]Room 8-S 107'!B7</f>
        <v>3</v>
      </c>
      <c r="I9" s="7">
        <f t="shared" si="0"/>
        <v>1</v>
      </c>
      <c r="J9" s="4" t="s">
        <v>20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6" t="s">
        <v>23</v>
      </c>
      <c r="B10" s="7" t="s">
        <v>24</v>
      </c>
      <c r="C10" s="8">
        <v>230</v>
      </c>
      <c r="D10" s="7" t="s">
        <v>12</v>
      </c>
      <c r="E10" s="9">
        <v>46387</v>
      </c>
      <c r="F10" s="10" t="s">
        <v>8</v>
      </c>
      <c r="G10" s="7">
        <v>9</v>
      </c>
      <c r="H10" s="7">
        <f>'[1]Room 9 -J 230'!B13</f>
        <v>7</v>
      </c>
      <c r="I10" s="7">
        <f t="shared" si="0"/>
        <v>2</v>
      </c>
      <c r="J10" s="4" t="s">
        <v>25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>
      <c r="A11" s="6" t="s">
        <v>26</v>
      </c>
      <c r="B11" s="7" t="s">
        <v>24</v>
      </c>
      <c r="C11" s="8">
        <v>237</v>
      </c>
      <c r="D11" s="7" t="s">
        <v>12</v>
      </c>
      <c r="E11" s="12"/>
      <c r="F11" s="12"/>
      <c r="G11" s="7">
        <v>10</v>
      </c>
      <c r="H11" s="7">
        <f>'[1]Room 10-J 237'!B13</f>
        <v>6</v>
      </c>
      <c r="I11" s="7">
        <f t="shared" si="0"/>
        <v>4</v>
      </c>
      <c r="J11" s="4" t="s">
        <v>25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>
      <c r="A12" s="6" t="s">
        <v>27</v>
      </c>
      <c r="B12" s="7" t="s">
        <v>24</v>
      </c>
      <c r="C12" s="8">
        <v>242</v>
      </c>
      <c r="D12" s="7" t="s">
        <v>12</v>
      </c>
      <c r="E12" s="15">
        <v>46387</v>
      </c>
      <c r="F12" s="16" t="s">
        <v>8</v>
      </c>
      <c r="G12" s="7">
        <v>10</v>
      </c>
      <c r="H12" s="7">
        <f>'[1]Room 11-J 242'!B13</f>
        <v>10</v>
      </c>
      <c r="I12" s="7">
        <f t="shared" si="0"/>
        <v>0</v>
      </c>
      <c r="J12" s="4" t="s">
        <v>25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>
      <c r="A13" s="6" t="s">
        <v>28</v>
      </c>
      <c r="B13" s="7" t="s">
        <v>19</v>
      </c>
      <c r="C13" s="8">
        <v>108</v>
      </c>
      <c r="D13" s="7" t="s">
        <v>12</v>
      </c>
      <c r="E13" s="9">
        <v>46173</v>
      </c>
      <c r="F13" s="10" t="s">
        <v>8</v>
      </c>
      <c r="G13" s="7">
        <v>4</v>
      </c>
      <c r="H13" s="7">
        <f>'[1]Room 12-S 108'!B7</f>
        <v>4</v>
      </c>
      <c r="I13" s="7">
        <f t="shared" si="0"/>
        <v>0</v>
      </c>
      <c r="J13" s="4" t="s">
        <v>20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>
      <c r="A14" s="6" t="s">
        <v>29</v>
      </c>
      <c r="B14" s="7" t="s">
        <v>19</v>
      </c>
      <c r="C14" s="8">
        <v>109</v>
      </c>
      <c r="D14" s="7" t="s">
        <v>12</v>
      </c>
      <c r="E14" s="12"/>
      <c r="F14" s="12"/>
      <c r="G14" s="7">
        <v>4</v>
      </c>
      <c r="H14" s="7">
        <f>'[1]Room 13-S 109'!B7</f>
        <v>4</v>
      </c>
      <c r="I14" s="7">
        <f t="shared" si="0"/>
        <v>0</v>
      </c>
      <c r="J14" s="4" t="s">
        <v>20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>
      <c r="A15" s="6" t="s">
        <v>30</v>
      </c>
      <c r="B15" s="7" t="s">
        <v>19</v>
      </c>
      <c r="C15" s="8">
        <v>72</v>
      </c>
      <c r="D15" s="7" t="s">
        <v>12</v>
      </c>
      <c r="E15" s="9">
        <v>46356</v>
      </c>
      <c r="F15" s="10" t="s">
        <v>8</v>
      </c>
      <c r="G15" s="7">
        <v>4</v>
      </c>
      <c r="H15" s="7">
        <f>'[1]Room 14-S 72'!B7</f>
        <v>4</v>
      </c>
      <c r="I15" s="7">
        <f t="shared" si="0"/>
        <v>0</v>
      </c>
      <c r="J15" s="4" t="s">
        <v>20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>
      <c r="A16" s="6" t="s">
        <v>31</v>
      </c>
      <c r="B16" s="7" t="s">
        <v>19</v>
      </c>
      <c r="C16" s="8">
        <v>73</v>
      </c>
      <c r="D16" s="7" t="s">
        <v>12</v>
      </c>
      <c r="E16" s="12"/>
      <c r="F16" s="12"/>
      <c r="G16" s="7">
        <v>4</v>
      </c>
      <c r="H16" s="7">
        <f>'[1]Room 15-S-73'!B7</f>
        <v>4</v>
      </c>
      <c r="I16" s="7">
        <f t="shared" si="0"/>
        <v>0</v>
      </c>
      <c r="J16" s="4" t="s">
        <v>20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6" t="s">
        <v>32</v>
      </c>
      <c r="B17" s="7" t="s">
        <v>19</v>
      </c>
      <c r="C17" s="8">
        <v>24</v>
      </c>
      <c r="D17" s="7" t="s">
        <v>12</v>
      </c>
      <c r="E17" s="9">
        <v>46371</v>
      </c>
      <c r="F17" s="10" t="s">
        <v>8</v>
      </c>
      <c r="G17" s="7">
        <v>4</v>
      </c>
      <c r="H17" s="7">
        <f>'[1]Room 16-S 24'!B7</f>
        <v>4</v>
      </c>
      <c r="I17" s="7">
        <f t="shared" si="0"/>
        <v>0</v>
      </c>
      <c r="J17" s="4" t="s">
        <v>20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>
      <c r="A18" s="6" t="s">
        <v>33</v>
      </c>
      <c r="B18" s="7" t="s">
        <v>19</v>
      </c>
      <c r="C18" s="17">
        <v>25</v>
      </c>
      <c r="D18" s="7" t="s">
        <v>12</v>
      </c>
      <c r="E18" s="11"/>
      <c r="F18" s="11"/>
      <c r="G18" s="7">
        <v>4</v>
      </c>
      <c r="H18" s="7">
        <f>'[1]Room 17-S 25'!B7</f>
        <v>4</v>
      </c>
      <c r="I18" s="7">
        <f t="shared" si="0"/>
        <v>0</v>
      </c>
      <c r="J18" s="4" t="s">
        <v>20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>
      <c r="A19" s="6" t="s">
        <v>34</v>
      </c>
      <c r="B19" s="7" t="s">
        <v>19</v>
      </c>
      <c r="C19" s="8">
        <v>26</v>
      </c>
      <c r="D19" s="7" t="s">
        <v>12</v>
      </c>
      <c r="E19" s="11"/>
      <c r="F19" s="11"/>
      <c r="G19" s="7">
        <v>4</v>
      </c>
      <c r="H19" s="7">
        <f>'[1]Room 18-S 26'!B7</f>
        <v>4</v>
      </c>
      <c r="I19" s="7">
        <f t="shared" si="0"/>
        <v>0</v>
      </c>
      <c r="J19" s="4" t="s">
        <v>20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>
      <c r="A20" s="6" t="s">
        <v>35</v>
      </c>
      <c r="B20" s="7" t="s">
        <v>19</v>
      </c>
      <c r="C20" s="8">
        <v>27</v>
      </c>
      <c r="D20" s="7" t="s">
        <v>12</v>
      </c>
      <c r="E20" s="11"/>
      <c r="F20" s="11"/>
      <c r="G20" s="7">
        <v>4</v>
      </c>
      <c r="H20" s="7">
        <f>'[1]Room 19-S 27'!B7</f>
        <v>4</v>
      </c>
      <c r="I20" s="7">
        <f t="shared" si="0"/>
        <v>0</v>
      </c>
      <c r="J20" s="4" t="s">
        <v>20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>
      <c r="A21" s="6" t="s">
        <v>36</v>
      </c>
      <c r="B21" s="7" t="s">
        <v>19</v>
      </c>
      <c r="C21" s="8">
        <v>33</v>
      </c>
      <c r="D21" s="7" t="s">
        <v>12</v>
      </c>
      <c r="E21" s="12"/>
      <c r="F21" s="12"/>
      <c r="G21" s="7">
        <v>4</v>
      </c>
      <c r="H21" s="7">
        <f>'[1]Room 20-S 33'!B7</f>
        <v>3</v>
      </c>
      <c r="I21" s="7">
        <f t="shared" si="0"/>
        <v>1</v>
      </c>
      <c r="J21" s="4" t="s">
        <v>20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>
      <c r="A22" s="6" t="s">
        <v>37</v>
      </c>
      <c r="B22" s="7" t="s">
        <v>11</v>
      </c>
      <c r="C22" s="8" t="s">
        <v>38</v>
      </c>
      <c r="D22" s="7" t="s">
        <v>12</v>
      </c>
      <c r="E22" s="13">
        <v>46370</v>
      </c>
      <c r="F22" s="10" t="s">
        <v>8</v>
      </c>
      <c r="G22" s="7">
        <v>6</v>
      </c>
      <c r="H22" s="7">
        <f>'[1]Room 21-Al gf 05'!B10</f>
        <v>6</v>
      </c>
      <c r="I22" s="7">
        <f t="shared" si="0"/>
        <v>0</v>
      </c>
      <c r="J22" s="4" t="s">
        <v>13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6" t="s">
        <v>39</v>
      </c>
      <c r="B23" s="7" t="s">
        <v>11</v>
      </c>
      <c r="C23" s="8" t="s">
        <v>40</v>
      </c>
      <c r="D23" s="7" t="s">
        <v>12</v>
      </c>
      <c r="E23" s="12"/>
      <c r="F23" s="12"/>
      <c r="G23" s="7">
        <v>6</v>
      </c>
      <c r="H23" s="7">
        <f>'[1]Room 22-Al gf-06'!B10</f>
        <v>6</v>
      </c>
      <c r="I23" s="7">
        <f t="shared" si="0"/>
        <v>0</v>
      </c>
      <c r="J23" s="4" t="s">
        <v>13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>
      <c r="A24" s="6" t="s">
        <v>41</v>
      </c>
      <c r="B24" s="7" t="s">
        <v>24</v>
      </c>
      <c r="C24" s="8">
        <v>134</v>
      </c>
      <c r="D24" s="7" t="s">
        <v>12</v>
      </c>
      <c r="E24" s="15">
        <v>46387</v>
      </c>
      <c r="F24" s="16" t="s">
        <v>8</v>
      </c>
      <c r="G24" s="7">
        <v>8</v>
      </c>
      <c r="H24" s="7">
        <f>'[1]Room 23-J 134'!B13</f>
        <v>5</v>
      </c>
      <c r="I24" s="7">
        <f t="shared" si="0"/>
        <v>3</v>
      </c>
      <c r="J24" s="4" t="s">
        <v>25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>
      <c r="A25" s="6" t="s">
        <v>42</v>
      </c>
      <c r="B25" s="7" t="s">
        <v>43</v>
      </c>
      <c r="C25" s="8" t="s">
        <v>44</v>
      </c>
      <c r="D25" s="7" t="s">
        <v>45</v>
      </c>
      <c r="E25" s="15">
        <v>46022</v>
      </c>
      <c r="F25" s="16" t="s">
        <v>8</v>
      </c>
      <c r="G25" s="7">
        <v>10</v>
      </c>
      <c r="H25" s="7">
        <f>'[1]Room 24-AD Musaff-A12'!B13</f>
        <v>9</v>
      </c>
      <c r="I25" s="7">
        <f t="shared" si="0"/>
        <v>1</v>
      </c>
      <c r="J25" s="4" t="s">
        <v>46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6" t="s">
        <v>47</v>
      </c>
      <c r="B26" s="7" t="s">
        <v>19</v>
      </c>
      <c r="C26" s="8">
        <v>79</v>
      </c>
      <c r="D26" s="7" t="s">
        <v>12</v>
      </c>
      <c r="E26" s="15">
        <v>46198</v>
      </c>
      <c r="F26" s="10" t="s">
        <v>8</v>
      </c>
      <c r="G26" s="7">
        <v>4</v>
      </c>
      <c r="H26" s="7">
        <f>'[1]Room 25-S 79'!B7</f>
        <v>4</v>
      </c>
      <c r="I26" s="7">
        <f t="shared" si="0"/>
        <v>0</v>
      </c>
      <c r="J26" s="4" t="s">
        <v>20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>
      <c r="A27" s="6" t="s">
        <v>48</v>
      </c>
      <c r="B27" s="7" t="s">
        <v>19</v>
      </c>
      <c r="C27" s="8">
        <v>80</v>
      </c>
      <c r="D27" s="7" t="s">
        <v>12</v>
      </c>
      <c r="E27" s="15">
        <v>46198</v>
      </c>
      <c r="F27" s="12"/>
      <c r="G27" s="7">
        <v>4</v>
      </c>
      <c r="H27" s="7">
        <f>'[1]Room 26-S 80'!B7</f>
        <v>4</v>
      </c>
      <c r="I27" s="7">
        <f t="shared" si="0"/>
        <v>0</v>
      </c>
      <c r="J27" s="4" t="s">
        <v>20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>
      <c r="A28" s="6" t="s">
        <v>49</v>
      </c>
      <c r="B28" s="7" t="s">
        <v>24</v>
      </c>
      <c r="C28" s="8">
        <v>306</v>
      </c>
      <c r="D28" s="7" t="s">
        <v>12</v>
      </c>
      <c r="E28" s="15">
        <v>46211</v>
      </c>
      <c r="F28" s="16" t="s">
        <v>8</v>
      </c>
      <c r="G28" s="7">
        <v>8</v>
      </c>
      <c r="H28" s="7">
        <f>'[1]Room 27-J 306'!B11</f>
        <v>7</v>
      </c>
      <c r="I28" s="7">
        <f t="shared" si="0"/>
        <v>1</v>
      </c>
      <c r="J28" s="4" t="s">
        <v>25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>
      <c r="A29" s="6" t="s">
        <v>50</v>
      </c>
      <c r="B29" s="7" t="s">
        <v>51</v>
      </c>
      <c r="C29" s="8">
        <v>1</v>
      </c>
      <c r="D29" s="7" t="s">
        <v>45</v>
      </c>
      <c r="E29" s="15"/>
      <c r="F29" s="16" t="s">
        <v>8</v>
      </c>
      <c r="G29" s="7">
        <v>9</v>
      </c>
      <c r="H29" s="7">
        <f>'[1]Room 28-Aj 01'!B12</f>
        <v>9</v>
      </c>
      <c r="I29" s="7">
        <f t="shared" si="0"/>
        <v>0</v>
      </c>
      <c r="J29" s="4" t="s">
        <v>25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>
      <c r="A30" s="6" t="s">
        <v>52</v>
      </c>
      <c r="B30" s="7" t="s">
        <v>51</v>
      </c>
      <c r="C30" s="8">
        <v>2</v>
      </c>
      <c r="D30" s="7" t="s">
        <v>45</v>
      </c>
      <c r="E30" s="15"/>
      <c r="F30" s="16" t="s">
        <v>8</v>
      </c>
      <c r="G30" s="7">
        <v>10</v>
      </c>
      <c r="H30" s="7">
        <f>'[1]Room 29-Aj 02'!B13</f>
        <v>8</v>
      </c>
      <c r="I30" s="7">
        <f t="shared" si="0"/>
        <v>2</v>
      </c>
      <c r="J30" s="4" t="s">
        <v>25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>
      <c r="A31" s="6" t="s">
        <v>53</v>
      </c>
      <c r="B31" s="7" t="s">
        <v>51</v>
      </c>
      <c r="C31" s="8">
        <v>3</v>
      </c>
      <c r="D31" s="7" t="s">
        <v>45</v>
      </c>
      <c r="E31" s="15"/>
      <c r="F31" s="16" t="s">
        <v>8</v>
      </c>
      <c r="G31" s="7">
        <v>1</v>
      </c>
      <c r="H31" s="7">
        <f>'[1]Room 30-Aj 03'!B12</f>
        <v>1</v>
      </c>
      <c r="I31" s="7">
        <f t="shared" si="0"/>
        <v>0</v>
      </c>
      <c r="J31" s="4" t="s">
        <v>25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>
      <c r="A32" s="18" t="s">
        <v>54</v>
      </c>
      <c r="B32" s="7" t="s">
        <v>19</v>
      </c>
      <c r="C32" s="7"/>
      <c r="D32" s="7" t="s">
        <v>12</v>
      </c>
      <c r="E32" s="15"/>
      <c r="F32" s="16"/>
      <c r="G32" s="7"/>
      <c r="H32" s="7">
        <f>[1]Leave!C19</f>
        <v>0</v>
      </c>
      <c r="I32" s="7">
        <f t="shared" si="0"/>
        <v>0</v>
      </c>
      <c r="J32" s="4" t="s">
        <v>20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>
      <c r="A33" s="18" t="s">
        <v>54</v>
      </c>
      <c r="B33" s="7" t="s">
        <v>11</v>
      </c>
      <c r="C33" s="7"/>
      <c r="D33" s="7" t="s">
        <v>12</v>
      </c>
      <c r="E33" s="15"/>
      <c r="F33" s="16"/>
      <c r="G33" s="7"/>
      <c r="H33" s="7">
        <f>[1]Leave!D19</f>
        <v>3</v>
      </c>
      <c r="I33" s="7">
        <f t="shared" si="0"/>
        <v>-3</v>
      </c>
      <c r="J33" s="4" t="s">
        <v>13</v>
      </c>
      <c r="K33" s="4"/>
      <c r="L33" s="4"/>
      <c r="M33" s="4"/>
      <c r="N33" s="19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>
      <c r="A34" s="18" t="s">
        <v>54</v>
      </c>
      <c r="B34" s="7" t="s">
        <v>24</v>
      </c>
      <c r="C34" s="7"/>
      <c r="D34" s="7" t="s">
        <v>12</v>
      </c>
      <c r="E34" s="15"/>
      <c r="F34" s="16"/>
      <c r="G34" s="7"/>
      <c r="H34" s="7">
        <f>[1]Leave!E19</f>
        <v>0</v>
      </c>
      <c r="I34" s="7">
        <f t="shared" si="0"/>
        <v>0</v>
      </c>
      <c r="J34" s="4" t="s">
        <v>25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>
      <c r="A35" s="20"/>
      <c r="B35" s="20"/>
      <c r="C35" s="21"/>
      <c r="D35" s="21"/>
      <c r="E35" s="20"/>
      <c r="F35" s="20"/>
      <c r="G35" s="21"/>
      <c r="H35" s="21"/>
      <c r="I35" s="21"/>
      <c r="J35" s="4"/>
      <c r="K35" s="4"/>
      <c r="L35" s="19"/>
      <c r="M35" s="19"/>
      <c r="N35" s="19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>
      <c r="A36" s="20"/>
      <c r="B36" s="20"/>
      <c r="C36" s="21">
        <f>SUBTOTAL(103,C2:C31)</f>
        <v>30</v>
      </c>
      <c r="D36" s="21"/>
      <c r="E36" s="20"/>
      <c r="F36" s="20"/>
      <c r="G36" s="21">
        <f t="shared" ref="G36:I36" si="1">SUBTOTAL(109,G2:G34)</f>
        <v>173</v>
      </c>
      <c r="H36" s="21">
        <f>SUBTOTAL(109,H2:H34)</f>
        <v>157</v>
      </c>
      <c r="I36" s="21">
        <f t="shared" si="1"/>
        <v>16</v>
      </c>
      <c r="J36" s="4"/>
      <c r="K36" s="4"/>
      <c r="L36" s="19"/>
      <c r="M36" s="19"/>
      <c r="N36" s="19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>
      <c r="A37" s="22"/>
      <c r="B37" s="22"/>
      <c r="C37" s="22"/>
      <c r="D37" s="22"/>
      <c r="E37" s="22"/>
      <c r="F37" s="22"/>
      <c r="G37" s="22"/>
      <c r="H37" s="22"/>
      <c r="I37" s="22"/>
      <c r="J37" s="4"/>
      <c r="K37" s="4"/>
      <c r="L37" s="4"/>
      <c r="M37" s="4"/>
      <c r="N37" s="19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>
      <c r="A38" s="22"/>
      <c r="B38" s="22"/>
      <c r="C38" s="22"/>
      <c r="D38" s="22"/>
      <c r="E38" s="22"/>
      <c r="F38" s="22"/>
      <c r="G38" s="22"/>
      <c r="H38" s="22"/>
      <c r="I38" s="22">
        <f>1</f>
        <v>1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>
      <c r="A39" s="22"/>
      <c r="B39" s="22"/>
      <c r="C39" s="22"/>
      <c r="D39" s="22"/>
      <c r="E39" s="22"/>
      <c r="F39" s="22"/>
      <c r="G39" s="22"/>
      <c r="H39" s="22"/>
      <c r="I39" s="22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>
      <c r="A40" s="22"/>
      <c r="B40" s="22"/>
      <c r="C40" s="22"/>
      <c r="D40" s="22"/>
      <c r="E40" s="22"/>
      <c r="F40" s="22"/>
      <c r="G40" s="22"/>
      <c r="H40" s="22"/>
      <c r="I40" s="22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>
      <c r="A41" s="22"/>
      <c r="B41" s="22"/>
      <c r="C41" s="22"/>
      <c r="D41" s="22"/>
      <c r="E41" s="22"/>
      <c r="F41" s="22"/>
      <c r="G41" s="22"/>
      <c r="H41" s="22"/>
      <c r="I41" s="22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>
      <c r="A42" s="22"/>
      <c r="B42" s="22"/>
      <c r="C42" s="22"/>
      <c r="D42" s="22"/>
      <c r="E42" s="22"/>
      <c r="F42" s="22"/>
      <c r="G42" s="22"/>
      <c r="H42" s="22"/>
      <c r="I42" s="2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>
      <c r="A43" s="22"/>
      <c r="B43" s="22"/>
      <c r="C43" s="22"/>
      <c r="D43" s="22"/>
      <c r="E43" s="22"/>
      <c r="F43" s="22"/>
      <c r="G43" s="22"/>
      <c r="H43" s="22"/>
      <c r="I43" s="2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>
      <c r="A44" s="22"/>
      <c r="B44" s="22"/>
      <c r="C44" s="22"/>
      <c r="D44" s="22"/>
      <c r="E44" s="22"/>
      <c r="F44" s="22"/>
      <c r="G44" s="22"/>
      <c r="H44" s="22"/>
      <c r="I44" s="22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>
      <c r="A45" s="22"/>
      <c r="B45" s="22"/>
      <c r="C45" s="22"/>
      <c r="D45" s="22"/>
      <c r="E45" s="22"/>
      <c r="F45" s="22"/>
      <c r="G45" s="22"/>
      <c r="H45" s="22"/>
      <c r="I45" s="22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>
      <c r="A46" s="22"/>
      <c r="B46" s="22"/>
      <c r="C46" s="22"/>
      <c r="D46" s="22"/>
      <c r="E46" s="22"/>
      <c r="F46" s="22"/>
      <c r="G46" s="22"/>
      <c r="H46" s="22"/>
      <c r="I46" s="2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>
      <c r="A47" s="22"/>
      <c r="B47" s="22"/>
      <c r="C47" s="22"/>
      <c r="D47" s="22"/>
      <c r="E47" s="22"/>
      <c r="F47" s="22"/>
      <c r="G47" s="22"/>
      <c r="H47" s="22"/>
      <c r="I47" s="22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>
      <c r="A48" s="22"/>
      <c r="B48" s="22"/>
      <c r="C48" s="22"/>
      <c r="D48" s="22"/>
      <c r="E48" s="22"/>
      <c r="F48" s="22"/>
      <c r="G48" s="22"/>
      <c r="H48" s="22"/>
      <c r="I48" s="2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>
      <c r="A49" s="22"/>
      <c r="B49" s="22"/>
      <c r="C49" s="22"/>
      <c r="E49" s="22"/>
      <c r="F49" s="22"/>
      <c r="G49" s="22"/>
      <c r="H49" s="22"/>
      <c r="I49" s="22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>
      <c r="A50" s="22"/>
      <c r="B50" s="22"/>
      <c r="C50" s="22"/>
      <c r="D50" s="22"/>
      <c r="E50" s="22"/>
      <c r="F50" s="22"/>
      <c r="G50" s="22"/>
      <c r="H50" s="22"/>
      <c r="I50" s="2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>
      <c r="A51" s="22"/>
      <c r="B51" s="22"/>
      <c r="C51" s="22"/>
      <c r="D51" s="22"/>
      <c r="E51" s="22"/>
      <c r="F51" s="22"/>
      <c r="G51" s="22"/>
      <c r="H51" s="22"/>
      <c r="I51" s="22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>
      <c r="A52" s="22"/>
      <c r="B52" s="22"/>
      <c r="C52" s="22"/>
      <c r="D52" s="22"/>
      <c r="E52" s="22"/>
      <c r="F52" s="22"/>
      <c r="G52" s="22"/>
      <c r="H52" s="22"/>
      <c r="I52" s="22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>
      <c r="A53" s="22"/>
      <c r="B53" s="22"/>
      <c r="C53" s="22"/>
      <c r="D53" s="22"/>
      <c r="E53" s="22"/>
      <c r="F53" s="22"/>
      <c r="G53" s="22"/>
      <c r="H53" s="22"/>
      <c r="I53" s="2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>
      <c r="A54" s="22"/>
      <c r="B54" s="22"/>
      <c r="C54" s="22"/>
      <c r="D54" s="22"/>
      <c r="E54" s="22"/>
      <c r="F54" s="22"/>
      <c r="G54" s="22"/>
      <c r="H54" s="22"/>
      <c r="I54" s="22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>
      <c r="A55" s="22"/>
      <c r="B55" s="22"/>
      <c r="C55" s="22"/>
      <c r="D55" s="22"/>
      <c r="E55" s="22"/>
      <c r="F55" s="22"/>
      <c r="G55" s="22"/>
      <c r="H55" s="22"/>
      <c r="I55" s="22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>
      <c r="A56" s="22"/>
      <c r="B56" s="22"/>
      <c r="C56" s="22"/>
      <c r="D56" s="22"/>
      <c r="E56" s="22"/>
      <c r="F56" s="22"/>
      <c r="G56" s="22"/>
      <c r="H56" s="22"/>
      <c r="I56" s="22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>
      <c r="A57" s="22"/>
      <c r="B57" s="22"/>
      <c r="C57" s="22"/>
      <c r="D57" s="22"/>
      <c r="E57" s="22"/>
      <c r="F57" s="22"/>
      <c r="G57" s="22"/>
      <c r="H57" s="22"/>
      <c r="I57" s="2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>
      <c r="A58" s="22"/>
      <c r="B58" s="22"/>
      <c r="C58" s="22"/>
      <c r="D58" s="22"/>
      <c r="E58" s="22"/>
      <c r="F58" s="22"/>
      <c r="G58" s="22"/>
      <c r="H58" s="22"/>
      <c r="I58" s="22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>
      <c r="A59" s="22"/>
      <c r="B59" s="22"/>
      <c r="C59" s="22"/>
      <c r="D59" s="22"/>
      <c r="E59" s="22"/>
      <c r="F59" s="22"/>
      <c r="G59" s="22"/>
      <c r="H59" s="22"/>
      <c r="I59" s="22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>
      <c r="A60" s="22"/>
      <c r="B60" s="22"/>
      <c r="C60" s="22"/>
      <c r="D60" s="22"/>
      <c r="E60" s="22"/>
      <c r="F60" s="22"/>
      <c r="G60" s="22"/>
      <c r="H60" s="22"/>
      <c r="I60" s="22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>
      <c r="A61" s="22"/>
      <c r="B61" s="22"/>
      <c r="C61" s="22"/>
      <c r="D61" s="22"/>
      <c r="E61" s="22"/>
      <c r="F61" s="22"/>
      <c r="G61" s="22"/>
      <c r="H61" s="22"/>
      <c r="I61" s="22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>
      <c r="A62" s="22"/>
      <c r="B62" s="22"/>
      <c r="C62" s="22"/>
      <c r="D62" s="22"/>
      <c r="E62" s="22"/>
      <c r="F62" s="22"/>
      <c r="G62" s="22"/>
      <c r="H62" s="22"/>
      <c r="I62" s="22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>
      <c r="A63" s="22"/>
      <c r="B63" s="22"/>
      <c r="C63" s="22"/>
      <c r="D63" s="22"/>
      <c r="E63" s="22"/>
      <c r="F63" s="22"/>
      <c r="G63" s="22"/>
      <c r="H63" s="22"/>
      <c r="I63" s="22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>
      <c r="A64" s="22"/>
      <c r="B64" s="22"/>
      <c r="C64" s="22"/>
      <c r="D64" s="22"/>
      <c r="E64" s="22"/>
      <c r="F64" s="22"/>
      <c r="G64" s="22"/>
      <c r="H64" s="22"/>
      <c r="I64" s="22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>
      <c r="A65" s="22"/>
      <c r="B65" s="22"/>
      <c r="C65" s="22"/>
      <c r="D65" s="22"/>
      <c r="E65" s="22"/>
      <c r="F65" s="22"/>
      <c r="G65" s="22"/>
      <c r="H65" s="22"/>
      <c r="I65" s="22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>
      <c r="A66" s="22"/>
      <c r="B66" s="22"/>
      <c r="C66" s="22"/>
      <c r="D66" s="22"/>
      <c r="E66" s="22"/>
      <c r="F66" s="22"/>
      <c r="G66" s="22"/>
      <c r="H66" s="22"/>
      <c r="I66" s="22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>
      <c r="A67" s="22"/>
      <c r="B67" s="22"/>
      <c r="C67" s="22"/>
      <c r="D67" s="22"/>
      <c r="E67" s="22"/>
      <c r="F67" s="22"/>
      <c r="G67" s="22"/>
      <c r="H67" s="22"/>
      <c r="I67" s="22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>
      <c r="A68" s="22"/>
      <c r="B68" s="22"/>
      <c r="C68" s="22"/>
      <c r="D68" s="22"/>
      <c r="E68" s="22"/>
      <c r="F68" s="22"/>
      <c r="G68" s="22"/>
      <c r="H68" s="22"/>
      <c r="I68" s="22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>
      <c r="A69" s="22"/>
      <c r="B69" s="22"/>
      <c r="C69" s="22"/>
      <c r="D69" s="22"/>
      <c r="E69" s="22"/>
      <c r="F69" s="22"/>
      <c r="G69" s="22"/>
      <c r="H69" s="22"/>
      <c r="I69" s="2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>
      <c r="A70" s="22"/>
      <c r="B70" s="22"/>
      <c r="C70" s="22"/>
      <c r="D70" s="22"/>
      <c r="E70" s="22"/>
      <c r="F70" s="22"/>
      <c r="G70" s="22"/>
      <c r="H70" s="22"/>
      <c r="I70" s="2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>
      <c r="A71" s="22"/>
      <c r="B71" s="22"/>
      <c r="C71" s="22"/>
      <c r="D71" s="22"/>
      <c r="E71" s="22"/>
      <c r="F71" s="22"/>
      <c r="G71" s="22"/>
      <c r="H71" s="22"/>
      <c r="I71" s="2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>
      <c r="A72" s="22"/>
      <c r="B72" s="22"/>
      <c r="C72" s="22"/>
      <c r="D72" s="22"/>
      <c r="E72" s="22"/>
      <c r="F72" s="22"/>
      <c r="G72" s="22"/>
      <c r="H72" s="22"/>
      <c r="I72" s="22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>
      <c r="A73" s="22"/>
      <c r="B73" s="22"/>
      <c r="C73" s="22"/>
      <c r="D73" s="22"/>
      <c r="E73" s="22"/>
      <c r="F73" s="22"/>
      <c r="G73" s="22"/>
      <c r="H73" s="22"/>
      <c r="I73" s="2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>
      <c r="A74" s="22"/>
      <c r="B74" s="22"/>
      <c r="C74" s="22"/>
      <c r="D74" s="22"/>
      <c r="E74" s="22"/>
      <c r="F74" s="22"/>
      <c r="G74" s="22"/>
      <c r="H74" s="22"/>
      <c r="I74" s="2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>
      <c r="A75" s="22"/>
      <c r="B75" s="22"/>
      <c r="C75" s="22"/>
      <c r="D75" s="22"/>
      <c r="E75" s="22"/>
      <c r="F75" s="22"/>
      <c r="G75" s="22"/>
      <c r="H75" s="22"/>
      <c r="I75" s="22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>
      <c r="A76" s="22"/>
      <c r="B76" s="22"/>
      <c r="C76" s="22"/>
      <c r="D76" s="22"/>
      <c r="E76" s="22"/>
      <c r="F76" s="22"/>
      <c r="G76" s="22"/>
      <c r="H76" s="22"/>
      <c r="I76" s="2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>
      <c r="A77" s="22"/>
      <c r="B77" s="22"/>
      <c r="C77" s="22"/>
      <c r="D77" s="22"/>
      <c r="E77" s="22"/>
      <c r="F77" s="22"/>
      <c r="G77" s="22"/>
      <c r="H77" s="22"/>
      <c r="I77" s="2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>
      <c r="A78" s="22"/>
      <c r="B78" s="22"/>
      <c r="C78" s="22"/>
      <c r="D78" s="22"/>
      <c r="E78" s="22"/>
      <c r="F78" s="22"/>
      <c r="G78" s="22"/>
      <c r="H78" s="22"/>
      <c r="I78" s="2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>
      <c r="A79" s="22"/>
      <c r="B79" s="22"/>
      <c r="C79" s="22"/>
      <c r="D79" s="22"/>
      <c r="E79" s="22"/>
      <c r="F79" s="22"/>
      <c r="G79" s="22"/>
      <c r="H79" s="22"/>
      <c r="I79" s="2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>
      <c r="A80" s="22"/>
      <c r="B80" s="22"/>
      <c r="C80" s="22"/>
      <c r="D80" s="22"/>
      <c r="E80" s="22"/>
      <c r="F80" s="22"/>
      <c r="G80" s="22"/>
      <c r="H80" s="22"/>
      <c r="I80" s="2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>
      <c r="A81" s="22"/>
      <c r="B81" s="22"/>
      <c r="C81" s="22"/>
      <c r="D81" s="22"/>
      <c r="E81" s="22"/>
      <c r="F81" s="22"/>
      <c r="G81" s="22"/>
      <c r="H81" s="22"/>
      <c r="I81" s="2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>
      <c r="A82" s="22"/>
      <c r="B82" s="22"/>
      <c r="C82" s="22"/>
      <c r="D82" s="22"/>
      <c r="E82" s="22"/>
      <c r="F82" s="22"/>
      <c r="G82" s="22"/>
      <c r="H82" s="22"/>
      <c r="I82" s="2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>
      <c r="A83" s="22"/>
      <c r="B83" s="22"/>
      <c r="C83" s="22"/>
      <c r="D83" s="22"/>
      <c r="E83" s="22"/>
      <c r="F83" s="22"/>
      <c r="G83" s="22"/>
      <c r="H83" s="22"/>
      <c r="I83" s="22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>
      <c r="A84" s="22"/>
      <c r="B84" s="22"/>
      <c r="C84" s="22"/>
      <c r="D84" s="22"/>
      <c r="E84" s="22"/>
      <c r="F84" s="22"/>
      <c r="G84" s="22"/>
      <c r="H84" s="22"/>
      <c r="I84" s="2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>
      <c r="A85" s="22"/>
      <c r="B85" s="22"/>
      <c r="C85" s="22"/>
      <c r="D85" s="22"/>
      <c r="E85" s="22"/>
      <c r="F85" s="22"/>
      <c r="G85" s="22"/>
      <c r="H85" s="22"/>
      <c r="I85" s="22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>
      <c r="A86" s="22"/>
      <c r="B86" s="22"/>
      <c r="C86" s="22"/>
      <c r="D86" s="22"/>
      <c r="E86" s="22"/>
      <c r="F86" s="22"/>
      <c r="G86" s="22"/>
      <c r="H86" s="22"/>
      <c r="I86" s="2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>
      <c r="A87" s="22"/>
      <c r="B87" s="22"/>
      <c r="C87" s="22"/>
      <c r="D87" s="22"/>
      <c r="E87" s="22"/>
      <c r="F87" s="22"/>
      <c r="G87" s="22"/>
      <c r="H87" s="22"/>
      <c r="I87" s="2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>
      <c r="A88" s="22"/>
      <c r="B88" s="22"/>
      <c r="C88" s="22"/>
      <c r="D88" s="22"/>
      <c r="E88" s="22"/>
      <c r="F88" s="22"/>
      <c r="G88" s="22"/>
      <c r="H88" s="22"/>
      <c r="I88" s="2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>
      <c r="A89" s="22"/>
      <c r="B89" s="22"/>
      <c r="C89" s="22"/>
      <c r="D89" s="22"/>
      <c r="E89" s="22"/>
      <c r="F89" s="22"/>
      <c r="G89" s="22"/>
      <c r="H89" s="22"/>
      <c r="I89" s="22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>
      <c r="A90" s="22"/>
      <c r="B90" s="22"/>
      <c r="C90" s="22"/>
      <c r="D90" s="22"/>
      <c r="E90" s="22"/>
      <c r="F90" s="22"/>
      <c r="G90" s="22"/>
      <c r="H90" s="22"/>
      <c r="I90" s="22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>
      <c r="A91" s="22"/>
      <c r="B91" s="22"/>
      <c r="C91" s="22"/>
      <c r="D91" s="22"/>
      <c r="E91" s="22"/>
      <c r="F91" s="22"/>
      <c r="G91" s="22"/>
      <c r="H91" s="22"/>
      <c r="I91" s="2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>
      <c r="A92" s="22"/>
      <c r="B92" s="22"/>
      <c r="C92" s="22"/>
      <c r="D92" s="22"/>
      <c r="E92" s="22"/>
      <c r="F92" s="22"/>
      <c r="G92" s="22"/>
      <c r="H92" s="22"/>
      <c r="I92" s="22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>
      <c r="A93" s="22"/>
      <c r="B93" s="22"/>
      <c r="C93" s="22"/>
      <c r="D93" s="22"/>
      <c r="E93" s="22"/>
      <c r="F93" s="22"/>
      <c r="G93" s="22"/>
      <c r="H93" s="22"/>
      <c r="I93" s="22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>
      <c r="A94" s="22"/>
      <c r="B94" s="22"/>
      <c r="C94" s="22"/>
      <c r="D94" s="22"/>
      <c r="E94" s="22"/>
      <c r="F94" s="22"/>
      <c r="G94" s="22"/>
      <c r="H94" s="22"/>
      <c r="I94" s="22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>
      <c r="A95" s="22"/>
      <c r="B95" s="22"/>
      <c r="C95" s="22"/>
      <c r="D95" s="22"/>
      <c r="E95" s="22"/>
      <c r="F95" s="22"/>
      <c r="G95" s="22"/>
      <c r="H95" s="22"/>
      <c r="I95" s="2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>
      <c r="A96" s="22"/>
      <c r="B96" s="22"/>
      <c r="C96" s="22"/>
      <c r="D96" s="22"/>
      <c r="E96" s="22"/>
      <c r="F96" s="22"/>
      <c r="G96" s="22"/>
      <c r="H96" s="22"/>
      <c r="I96" s="2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>
      <c r="A97" s="22"/>
      <c r="B97" s="22"/>
      <c r="C97" s="22"/>
      <c r="D97" s="22"/>
      <c r="E97" s="22"/>
      <c r="F97" s="22"/>
      <c r="G97" s="22"/>
      <c r="H97" s="22"/>
      <c r="I97" s="2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>
      <c r="A98" s="22"/>
      <c r="B98" s="22"/>
      <c r="C98" s="22"/>
      <c r="D98" s="22"/>
      <c r="E98" s="22"/>
      <c r="F98" s="22"/>
      <c r="G98" s="22"/>
      <c r="H98" s="22"/>
      <c r="I98" s="22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>
      <c r="A99" s="22"/>
      <c r="B99" s="22"/>
      <c r="C99" s="22"/>
      <c r="D99" s="22"/>
      <c r="E99" s="22"/>
      <c r="F99" s="22"/>
      <c r="G99" s="22"/>
      <c r="H99" s="22"/>
      <c r="I99" s="2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6.5" customHeight="1">
      <c r="A1001" s="22"/>
      <c r="B1001" s="22"/>
      <c r="C1001" s="22"/>
      <c r="D1001" s="22"/>
      <c r="E1001" s="22"/>
      <c r="F1001" s="22"/>
      <c r="G1001" s="22"/>
      <c r="H1001" s="22"/>
      <c r="I1001" s="22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6.5" customHeight="1">
      <c r="A1002" s="22"/>
      <c r="B1002" s="22"/>
      <c r="C1002" s="22"/>
      <c r="D1002" s="22"/>
      <c r="E1002" s="22"/>
      <c r="F1002" s="22"/>
      <c r="G1002" s="22"/>
      <c r="H1002" s="22"/>
      <c r="I1002" s="22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6.5" customHeight="1">
      <c r="A1003" s="22"/>
      <c r="B1003" s="22"/>
      <c r="C1003" s="22"/>
      <c r="D1003" s="22"/>
      <c r="E1003" s="22"/>
      <c r="F1003" s="22"/>
      <c r="G1003" s="22"/>
      <c r="H1003" s="22"/>
      <c r="I1003" s="22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6.5" customHeight="1">
      <c r="A1004" s="22"/>
      <c r="B1004" s="22"/>
      <c r="C1004" s="22"/>
      <c r="D1004" s="22"/>
      <c r="E1004" s="22"/>
      <c r="F1004" s="22"/>
      <c r="G1004" s="22"/>
      <c r="H1004" s="22"/>
      <c r="I1004" s="22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6.5" customHeight="1">
      <c r="A1005" s="22"/>
      <c r="B1005" s="22"/>
      <c r="C1005" s="22"/>
      <c r="D1005" s="22"/>
      <c r="E1005" s="22"/>
      <c r="F1005" s="22"/>
      <c r="G1005" s="22"/>
      <c r="H1005" s="22"/>
      <c r="I1005" s="22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15">
    <mergeCell ref="E22:E23"/>
    <mergeCell ref="F22:F23"/>
    <mergeCell ref="F26:F27"/>
    <mergeCell ref="E13:E14"/>
    <mergeCell ref="F13:F14"/>
    <mergeCell ref="E15:E16"/>
    <mergeCell ref="F15:F16"/>
    <mergeCell ref="E17:E21"/>
    <mergeCell ref="F17:F21"/>
    <mergeCell ref="E2:E6"/>
    <mergeCell ref="F2:F6"/>
    <mergeCell ref="E7:E9"/>
    <mergeCell ref="F7:F9"/>
    <mergeCell ref="E10:E11"/>
    <mergeCell ref="F10:F11"/>
  </mergeCells>
  <conditionalFormatting sqref="I2:I34">
    <cfRule type="cellIs" dxfId="1" priority="1" operator="lessThan">
      <formula>0</formula>
    </cfRule>
  </conditionalFormatting>
  <conditionalFormatting sqref="I2:I34">
    <cfRule type="cellIs" dxfId="0" priority="2" operator="greaterThanOrEqual">
      <formula>1</formula>
    </cfRule>
  </conditionalFormatting>
  <hyperlinks>
    <hyperlink ref="A32" location="Leave!A1" display="STAFF ON LEAVE"/>
    <hyperlink ref="A33" location="Leave!A1" display="STAFF ON LEAVE"/>
    <hyperlink ref="A34" location="Leave!A1" display="STAFF ON LEAVE"/>
    <hyperlink ref="A2" location="'Room 1-Al 06'!A1" display="'Room 1-Al 06'!A1"/>
    <hyperlink ref="A3" location="'Room 2-Al 07'!A1" display="'Room 2-Al 07'!A1"/>
    <hyperlink ref="A4" location="'Room 3-Al-08'!A1" display="'Room 3-Al-08'!A1"/>
    <hyperlink ref="A5" location="'Room 4-Al 12'!A1" display="'Room 4-Al 12'!A1"/>
    <hyperlink ref="A6" location="'Room 5-Al 17'!A1" display="'Room 5-Al 17'!A1"/>
    <hyperlink ref="A7" location="'Room 6 -S 105'!A1" display="'Room 6 -S 105'!A1"/>
    <hyperlink ref="A8" location="'Room 7 -S 106'!A1" display="'Room 7 -S 106'!A1"/>
    <hyperlink ref="A9" location="'Room 8-S 107'!A1" display="'Room 8-S 107'!A1"/>
    <hyperlink ref="A10" location="'Room 9 -J 230'!A1" display="'Room 9 -J 230'!A1"/>
    <hyperlink ref="A11" location="'Room 10-J 237'!A1" display="'Room 10-J 237'!A1"/>
    <hyperlink ref="A12" location="'Room 11-J 242'!A1" display="'Room 11-J 242'!A1"/>
    <hyperlink ref="A13" location="'Room 12-S 108'!A1" display="'Room 12-S 108'!A1"/>
    <hyperlink ref="A14" location="'Room 13-S 109'!A1" display="'Room 13-S 109'!A1"/>
    <hyperlink ref="A15" location="'Room 14-S 72'!A1" display="'Room 14-S 72'!A1"/>
    <hyperlink ref="A16" location="'Room 15-S-73'!A1" display="'Room 15-S-73'!A1"/>
    <hyperlink ref="A17" location="'Room 16-S 24'!A1" display="'Room 16-S 24'!A1"/>
    <hyperlink ref="A18" location="'Room 17-S 25'!A1" display="'Room 17-S 25'!A1"/>
    <hyperlink ref="A19" location="'Room 18-S 26'!A1" display="'Room 18-S 26'!A1"/>
    <hyperlink ref="A20" location="'Room 19-S 27'!A1" display="'Room 19-S 27'!A1"/>
    <hyperlink ref="A21" location="'Room 20-S 33'!A1" display="'Room 20-S 33'!A1"/>
    <hyperlink ref="A22" location="'Room 21-Al gf 05'!A1" display="'Room 21-Al gf 05'!A1"/>
    <hyperlink ref="A23" location="'Room 22-Al gf-06'!A1" display="'Room 22-Al gf-06'!A1"/>
    <hyperlink ref="A24" location="'Room 23-J 134'!A1" display="'Room 23-J 134'!A1"/>
    <hyperlink ref="A25" location="'Room 24-AD Musaff-A12'!A1" display="'Room 24-AD Musaff-A12'!A1"/>
    <hyperlink ref="A26" location="'Room 25-S 79'!A1" display="'Room 25-S 79'!A1"/>
    <hyperlink ref="A27" location="'Room 26-S 80'!A1" display="'Room 26-S 80'!A1"/>
    <hyperlink ref="A28" location="'Room 27-J 306'!A1" display="'Room 27-J 306'!A1"/>
    <hyperlink ref="A29" location="'Room 28-Aj 01'!A1" display="'Room 28-Aj 01'!A1"/>
    <hyperlink ref="A30" location="'Room 29-Aj 02'!A1" display="'Room 29-Aj 02'!A1"/>
    <hyperlink ref="A31" location="'Room 30-Aj 03'!A1" display="'Room 30-Aj 03'!A1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E9" sqref="E9"/>
    </sheetView>
  </sheetViews>
  <sheetFormatPr defaultRowHeight="14.5"/>
  <cols>
    <col min="1" max="1" width="16.6328125" customWidth="1"/>
    <col min="2" max="2" width="22.36328125" customWidth="1"/>
  </cols>
  <sheetData>
    <row r="1" spans="1:2" ht="15" thickBot="1">
      <c r="A1" s="82" t="s">
        <v>512</v>
      </c>
      <c r="B1" s="82" t="s">
        <v>9</v>
      </c>
    </row>
    <row r="2" spans="1:2" ht="15" thickBot="1">
      <c r="A2" s="83" t="s">
        <v>11</v>
      </c>
      <c r="B2" s="84" t="s">
        <v>13</v>
      </c>
    </row>
    <row r="3" spans="1:2" ht="15" thickBot="1">
      <c r="A3" s="83" t="s">
        <v>19</v>
      </c>
      <c r="B3" s="84" t="s">
        <v>20</v>
      </c>
    </row>
    <row r="4" spans="1:2" ht="15" thickBot="1">
      <c r="A4" s="83" t="s">
        <v>24</v>
      </c>
      <c r="B4" s="84" t="s">
        <v>25</v>
      </c>
    </row>
    <row r="5" spans="1:2" ht="15" thickBot="1">
      <c r="A5" s="83" t="s">
        <v>43</v>
      </c>
      <c r="B5" s="84" t="s">
        <v>46</v>
      </c>
    </row>
    <row r="6" spans="1:2" ht="15" thickBot="1">
      <c r="A6" s="83" t="s">
        <v>51</v>
      </c>
      <c r="B6" s="84" t="s">
        <v>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81"/>
  <sheetViews>
    <sheetView workbookViewId="0"/>
  </sheetViews>
  <sheetFormatPr defaultRowHeight="14.5"/>
  <cols>
    <col min="1" max="1" width="14.54296875" customWidth="1"/>
    <col min="2" max="2" width="20.08984375" customWidth="1"/>
    <col min="3" max="3" width="19.7265625" customWidth="1"/>
    <col min="4" max="4" width="19.6328125" customWidth="1"/>
    <col min="5" max="5" width="8.7265625" style="5" customWidth="1"/>
  </cols>
  <sheetData>
    <row r="1" spans="1:5">
      <c r="A1" s="35" t="s">
        <v>55</v>
      </c>
      <c r="B1" s="36" t="s">
        <v>56</v>
      </c>
      <c r="C1" s="36" t="s">
        <v>57</v>
      </c>
      <c r="D1" s="37" t="s">
        <v>58</v>
      </c>
      <c r="E1" s="23" t="s">
        <v>77</v>
      </c>
    </row>
    <row r="2" spans="1:5">
      <c r="A2" s="38" t="s">
        <v>59</v>
      </c>
      <c r="B2" s="39" t="s">
        <v>60</v>
      </c>
      <c r="C2" s="40" t="s">
        <v>61</v>
      </c>
      <c r="D2" s="41" t="s">
        <v>62</v>
      </c>
      <c r="E2" s="48" t="s">
        <v>78</v>
      </c>
    </row>
    <row r="3" spans="1:5">
      <c r="A3" s="38" t="s">
        <v>63</v>
      </c>
      <c r="B3" s="42" t="s">
        <v>64</v>
      </c>
      <c r="C3" s="29">
        <v>1265</v>
      </c>
      <c r="D3" s="43" t="s">
        <v>65</v>
      </c>
      <c r="E3" s="48" t="s">
        <v>78</v>
      </c>
    </row>
    <row r="4" spans="1:5">
      <c r="A4" s="38" t="s">
        <v>66</v>
      </c>
      <c r="B4" s="42" t="s">
        <v>67</v>
      </c>
      <c r="C4" s="29">
        <v>1302</v>
      </c>
      <c r="D4" s="41" t="s">
        <v>68</v>
      </c>
      <c r="E4" s="48" t="s">
        <v>78</v>
      </c>
    </row>
    <row r="5" spans="1:5">
      <c r="A5" s="38" t="s">
        <v>69</v>
      </c>
      <c r="B5" s="42" t="s">
        <v>70</v>
      </c>
      <c r="C5" s="44">
        <v>1340</v>
      </c>
      <c r="D5" s="41" t="s">
        <v>71</v>
      </c>
      <c r="E5" s="48" t="s">
        <v>78</v>
      </c>
    </row>
    <row r="6" spans="1:5">
      <c r="A6" s="38" t="s">
        <v>72</v>
      </c>
      <c r="B6" s="42" t="s">
        <v>73</v>
      </c>
      <c r="C6" s="45">
        <v>1360</v>
      </c>
      <c r="D6" s="41" t="s">
        <v>74</v>
      </c>
      <c r="E6" s="48" t="s">
        <v>78</v>
      </c>
    </row>
    <row r="7" spans="1:5">
      <c r="A7" s="38" t="s">
        <v>75</v>
      </c>
      <c r="B7" s="38"/>
      <c r="C7" s="46"/>
      <c r="D7" s="47" t="s">
        <v>76</v>
      </c>
      <c r="E7" s="49" t="s">
        <v>79</v>
      </c>
    </row>
    <row r="8" spans="1:5">
      <c r="A8" s="24" t="s">
        <v>80</v>
      </c>
      <c r="B8" s="25" t="s">
        <v>81</v>
      </c>
      <c r="C8" s="26" t="s">
        <v>82</v>
      </c>
      <c r="D8" s="30" t="s">
        <v>83</v>
      </c>
      <c r="E8" s="30" t="s">
        <v>78</v>
      </c>
    </row>
    <row r="9" spans="1:5">
      <c r="A9" s="24" t="s">
        <v>84</v>
      </c>
      <c r="B9" s="50" t="s">
        <v>85</v>
      </c>
      <c r="C9" s="29">
        <v>1201</v>
      </c>
      <c r="D9" s="30" t="s">
        <v>83</v>
      </c>
      <c r="E9" s="30" t="s">
        <v>78</v>
      </c>
    </row>
    <row r="10" spans="1:5">
      <c r="A10" s="24" t="s">
        <v>86</v>
      </c>
      <c r="B10" s="51" t="s">
        <v>87</v>
      </c>
      <c r="C10" s="29">
        <v>1256</v>
      </c>
      <c r="D10" s="30" t="s">
        <v>88</v>
      </c>
      <c r="E10" s="30" t="s">
        <v>78</v>
      </c>
    </row>
    <row r="11" spans="1:5">
      <c r="A11" s="24" t="s">
        <v>89</v>
      </c>
      <c r="B11" s="51" t="s">
        <v>90</v>
      </c>
      <c r="C11" s="29">
        <v>1233</v>
      </c>
      <c r="D11" s="30" t="s">
        <v>88</v>
      </c>
      <c r="E11" s="30" t="s">
        <v>78</v>
      </c>
    </row>
    <row r="12" spans="1:5">
      <c r="A12" s="24" t="s">
        <v>91</v>
      </c>
      <c r="B12" s="28" t="s">
        <v>92</v>
      </c>
      <c r="C12" s="31">
        <v>1330</v>
      </c>
      <c r="D12" s="30" t="s">
        <v>93</v>
      </c>
      <c r="E12" s="30" t="s">
        <v>78</v>
      </c>
    </row>
    <row r="13" spans="1:5">
      <c r="A13" s="24" t="s">
        <v>94</v>
      </c>
      <c r="B13" s="28" t="s">
        <v>95</v>
      </c>
      <c r="C13" s="31">
        <v>1345</v>
      </c>
      <c r="D13" s="30" t="s">
        <v>93</v>
      </c>
      <c r="E13" s="30" t="s">
        <v>78</v>
      </c>
    </row>
    <row r="14" spans="1:5">
      <c r="A14" s="24" t="s">
        <v>96</v>
      </c>
      <c r="B14" s="25" t="s">
        <v>97</v>
      </c>
      <c r="C14" s="26" t="s">
        <v>98</v>
      </c>
      <c r="D14" s="30" t="s">
        <v>99</v>
      </c>
      <c r="E14" s="30" t="s">
        <v>78</v>
      </c>
    </row>
    <row r="15" spans="1:5">
      <c r="A15" s="24" t="s">
        <v>100</v>
      </c>
      <c r="B15" s="28" t="s">
        <v>101</v>
      </c>
      <c r="C15" s="29">
        <v>1035</v>
      </c>
      <c r="D15" s="30" t="s">
        <v>102</v>
      </c>
      <c r="E15" s="30" t="s">
        <v>78</v>
      </c>
    </row>
    <row r="16" spans="1:5">
      <c r="A16" s="24" t="s">
        <v>103</v>
      </c>
      <c r="B16" s="28" t="s">
        <v>104</v>
      </c>
      <c r="C16" s="29">
        <v>1268</v>
      </c>
      <c r="D16" s="30" t="s">
        <v>105</v>
      </c>
      <c r="E16" s="30" t="s">
        <v>78</v>
      </c>
    </row>
    <row r="17" spans="1:5">
      <c r="A17" s="24" t="s">
        <v>106</v>
      </c>
      <c r="B17" s="28" t="s">
        <v>107</v>
      </c>
      <c r="C17" s="52">
        <v>1365</v>
      </c>
      <c r="D17" s="30" t="s">
        <v>108</v>
      </c>
      <c r="E17" s="30" t="s">
        <v>78</v>
      </c>
    </row>
    <row r="18" spans="1:5">
      <c r="A18" s="24" t="s">
        <v>109</v>
      </c>
      <c r="B18" s="53" t="s">
        <v>110</v>
      </c>
      <c r="C18" s="54">
        <v>1385</v>
      </c>
      <c r="D18" s="30" t="s">
        <v>111</v>
      </c>
      <c r="E18" s="30" t="s">
        <v>78</v>
      </c>
    </row>
    <row r="19" spans="1:5">
      <c r="A19" s="24" t="s">
        <v>112</v>
      </c>
      <c r="B19" s="30"/>
      <c r="C19" s="55"/>
      <c r="D19" s="30" t="s">
        <v>113</v>
      </c>
      <c r="E19" s="30" t="s">
        <v>79</v>
      </c>
    </row>
    <row r="20" spans="1:5">
      <c r="A20" s="24" t="s">
        <v>114</v>
      </c>
      <c r="B20" s="56" t="s">
        <v>115</v>
      </c>
      <c r="C20" s="29">
        <v>1187</v>
      </c>
      <c r="D20" s="30" t="s">
        <v>116</v>
      </c>
      <c r="E20" s="30" t="s">
        <v>78</v>
      </c>
    </row>
    <row r="21" spans="1:5">
      <c r="A21" s="24" t="s">
        <v>117</v>
      </c>
      <c r="B21" s="28" t="s">
        <v>118</v>
      </c>
      <c r="C21" s="29">
        <v>1307</v>
      </c>
      <c r="D21" s="30" t="s">
        <v>119</v>
      </c>
      <c r="E21" s="30" t="s">
        <v>78</v>
      </c>
    </row>
    <row r="22" spans="1:5">
      <c r="A22" s="24" t="s">
        <v>120</v>
      </c>
      <c r="B22" s="28" t="s">
        <v>121</v>
      </c>
      <c r="C22" s="29">
        <v>1321</v>
      </c>
      <c r="D22" s="30" t="s">
        <v>122</v>
      </c>
      <c r="E22" s="30" t="s">
        <v>78</v>
      </c>
    </row>
    <row r="23" spans="1:5">
      <c r="A23" s="24" t="s">
        <v>123</v>
      </c>
      <c r="B23" s="28" t="s">
        <v>124</v>
      </c>
      <c r="C23" s="29">
        <v>1322</v>
      </c>
      <c r="D23" s="30" t="s">
        <v>125</v>
      </c>
      <c r="E23" s="30" t="s">
        <v>78</v>
      </c>
    </row>
    <row r="24" spans="1:5">
      <c r="A24" s="24" t="s">
        <v>126</v>
      </c>
      <c r="B24" s="28" t="s">
        <v>127</v>
      </c>
      <c r="C24" s="29">
        <v>1323</v>
      </c>
      <c r="D24" s="57" t="s">
        <v>128</v>
      </c>
      <c r="E24" s="57" t="s">
        <v>78</v>
      </c>
    </row>
    <row r="25" spans="1:5">
      <c r="A25" s="24" t="s">
        <v>129</v>
      </c>
      <c r="B25" s="58" t="s">
        <v>130</v>
      </c>
      <c r="C25" s="54">
        <v>1377</v>
      </c>
      <c r="D25" s="59"/>
      <c r="E25" s="57" t="s">
        <v>78</v>
      </c>
    </row>
    <row r="26" spans="1:5">
      <c r="A26" s="24" t="s">
        <v>131</v>
      </c>
      <c r="B26" s="28" t="s">
        <v>132</v>
      </c>
      <c r="C26" s="29">
        <v>1015</v>
      </c>
      <c r="D26" s="30" t="s">
        <v>116</v>
      </c>
      <c r="E26" s="30" t="s">
        <v>78</v>
      </c>
    </row>
    <row r="27" spans="1:5">
      <c r="A27" s="24" t="s">
        <v>133</v>
      </c>
      <c r="B27" s="60" t="s">
        <v>134</v>
      </c>
      <c r="C27" s="61">
        <v>1192</v>
      </c>
      <c r="D27" s="62" t="s">
        <v>119</v>
      </c>
      <c r="E27" s="30" t="s">
        <v>78</v>
      </c>
    </row>
    <row r="28" spans="1:5">
      <c r="A28" s="24" t="s">
        <v>135</v>
      </c>
      <c r="B28" s="63"/>
      <c r="C28" s="63"/>
      <c r="D28" s="63"/>
      <c r="E28" s="49" t="s">
        <v>79</v>
      </c>
    </row>
    <row r="29" spans="1:5">
      <c r="A29" s="24" t="s">
        <v>136</v>
      </c>
      <c r="B29" s="64" t="s">
        <v>137</v>
      </c>
      <c r="C29" s="65">
        <v>1226</v>
      </c>
      <c r="D29" s="30" t="s">
        <v>125</v>
      </c>
      <c r="E29" s="30" t="s">
        <v>78</v>
      </c>
    </row>
    <row r="30" spans="1:5">
      <c r="A30" s="24" t="s">
        <v>138</v>
      </c>
      <c r="B30" s="28" t="s">
        <v>139</v>
      </c>
      <c r="C30" s="31">
        <v>1346</v>
      </c>
      <c r="D30" s="30" t="s">
        <v>128</v>
      </c>
      <c r="E30" s="30" t="s">
        <v>78</v>
      </c>
    </row>
    <row r="31" spans="1:5">
      <c r="A31" s="24" t="s">
        <v>140</v>
      </c>
      <c r="B31" s="58" t="s">
        <v>141</v>
      </c>
      <c r="C31" s="54">
        <v>1383</v>
      </c>
      <c r="D31" s="30" t="s">
        <v>142</v>
      </c>
      <c r="E31" s="30" t="s">
        <v>78</v>
      </c>
    </row>
    <row r="32" spans="1:5">
      <c r="A32" s="24" t="s">
        <v>143</v>
      </c>
      <c r="B32" s="57" t="s">
        <v>144</v>
      </c>
      <c r="C32" s="55">
        <v>1198</v>
      </c>
      <c r="D32" s="30" t="s">
        <v>145</v>
      </c>
      <c r="E32" s="30" t="s">
        <v>78</v>
      </c>
    </row>
    <row r="33" spans="1:5">
      <c r="A33" s="24" t="s">
        <v>146</v>
      </c>
      <c r="B33" s="24" t="s">
        <v>147</v>
      </c>
      <c r="C33" s="55">
        <v>1279</v>
      </c>
      <c r="D33" s="30" t="s">
        <v>148</v>
      </c>
      <c r="E33" s="30" t="s">
        <v>78</v>
      </c>
    </row>
    <row r="34" spans="1:5">
      <c r="A34" s="24" t="s">
        <v>149</v>
      </c>
      <c r="B34" s="66" t="s">
        <v>150</v>
      </c>
      <c r="C34" s="67">
        <v>1158</v>
      </c>
      <c r="D34" s="30" t="s">
        <v>151</v>
      </c>
      <c r="E34" s="30" t="s">
        <v>78</v>
      </c>
    </row>
    <row r="35" spans="1:5">
      <c r="A35" s="24" t="s">
        <v>152</v>
      </c>
      <c r="B35" s="24"/>
      <c r="C35" s="30"/>
      <c r="D35" s="30" t="s">
        <v>151</v>
      </c>
      <c r="E35" s="49" t="s">
        <v>79</v>
      </c>
    </row>
    <row r="36" spans="1:5">
      <c r="A36" s="24" t="s">
        <v>153</v>
      </c>
      <c r="B36" s="30" t="s">
        <v>154</v>
      </c>
      <c r="C36" s="68">
        <v>1134</v>
      </c>
      <c r="D36" s="24" t="s">
        <v>155</v>
      </c>
      <c r="E36" s="30" t="s">
        <v>78</v>
      </c>
    </row>
    <row r="37" spans="1:5">
      <c r="A37" s="24" t="s">
        <v>156</v>
      </c>
      <c r="B37" s="30" t="s">
        <v>157</v>
      </c>
      <c r="C37" s="33">
        <v>1193</v>
      </c>
      <c r="D37" s="30" t="s">
        <v>158</v>
      </c>
      <c r="E37" s="30" t="s">
        <v>78</v>
      </c>
    </row>
    <row r="38" spans="1:5">
      <c r="A38" s="24" t="s">
        <v>159</v>
      </c>
      <c r="B38" s="58" t="s">
        <v>160</v>
      </c>
      <c r="C38" s="33">
        <v>1376</v>
      </c>
      <c r="D38" s="30" t="s">
        <v>161</v>
      </c>
      <c r="E38" s="30" t="s">
        <v>78</v>
      </c>
    </row>
    <row r="39" spans="1:5">
      <c r="A39" s="24" t="s">
        <v>162</v>
      </c>
      <c r="B39" s="58" t="s">
        <v>163</v>
      </c>
      <c r="C39" s="33">
        <v>1380</v>
      </c>
      <c r="D39" s="30" t="s">
        <v>164</v>
      </c>
      <c r="E39" s="30" t="s">
        <v>78</v>
      </c>
    </row>
    <row r="40" spans="1:5">
      <c r="A40" s="24" t="s">
        <v>165</v>
      </c>
      <c r="B40" s="69" t="s">
        <v>166</v>
      </c>
      <c r="C40" s="70">
        <v>1367</v>
      </c>
      <c r="D40" s="30" t="s">
        <v>167</v>
      </c>
      <c r="E40" s="30" t="s">
        <v>78</v>
      </c>
    </row>
    <row r="41" spans="1:5">
      <c r="A41" s="24" t="s">
        <v>168</v>
      </c>
      <c r="B41" s="69" t="s">
        <v>169</v>
      </c>
      <c r="C41" s="70">
        <v>1247</v>
      </c>
      <c r="D41" s="30" t="s">
        <v>170</v>
      </c>
      <c r="E41" s="30" t="s">
        <v>78</v>
      </c>
    </row>
    <row r="42" spans="1:5">
      <c r="A42" s="24" t="s">
        <v>171</v>
      </c>
      <c r="B42" s="28" t="s">
        <v>172</v>
      </c>
      <c r="C42" s="71">
        <v>1242</v>
      </c>
      <c r="D42" s="30" t="s">
        <v>173</v>
      </c>
      <c r="E42" s="30" t="s">
        <v>78</v>
      </c>
    </row>
    <row r="43" spans="1:5">
      <c r="A43" s="24" t="s">
        <v>174</v>
      </c>
      <c r="B43" s="69"/>
      <c r="C43" s="69"/>
      <c r="D43" s="30" t="s">
        <v>175</v>
      </c>
      <c r="E43" s="49" t="s">
        <v>79</v>
      </c>
    </row>
    <row r="44" spans="1:5" ht="16.5">
      <c r="A44" s="24" t="s">
        <v>176</v>
      </c>
      <c r="B44" s="72" t="s">
        <v>177</v>
      </c>
      <c r="C44" s="26" t="s">
        <v>178</v>
      </c>
      <c r="D44" s="30" t="s">
        <v>179</v>
      </c>
      <c r="E44" s="30" t="s">
        <v>78</v>
      </c>
    </row>
    <row r="45" spans="1:5">
      <c r="A45" s="24" t="s">
        <v>180</v>
      </c>
      <c r="B45" s="25" t="s">
        <v>181</v>
      </c>
      <c r="C45" s="26" t="s">
        <v>182</v>
      </c>
      <c r="D45" s="30" t="s">
        <v>183</v>
      </c>
      <c r="E45" s="30" t="s">
        <v>78</v>
      </c>
    </row>
    <row r="46" spans="1:5">
      <c r="A46" s="24" t="s">
        <v>184</v>
      </c>
      <c r="B46" s="56" t="s">
        <v>185</v>
      </c>
      <c r="C46" s="29">
        <v>1190</v>
      </c>
      <c r="D46" s="30" t="s">
        <v>186</v>
      </c>
      <c r="E46" s="30" t="s">
        <v>78</v>
      </c>
    </row>
    <row r="47" spans="1:5">
      <c r="A47" s="24" t="s">
        <v>187</v>
      </c>
      <c r="B47" s="51" t="s">
        <v>188</v>
      </c>
      <c r="C47" s="29">
        <v>1257</v>
      </c>
      <c r="D47" s="30" t="s">
        <v>189</v>
      </c>
      <c r="E47" s="30" t="s">
        <v>78</v>
      </c>
    </row>
    <row r="48" spans="1:5">
      <c r="A48" s="24" t="s">
        <v>190</v>
      </c>
      <c r="B48" s="28" t="s">
        <v>191</v>
      </c>
      <c r="C48" s="29">
        <v>1282</v>
      </c>
      <c r="D48" s="30" t="s">
        <v>192</v>
      </c>
      <c r="E48" s="30" t="s">
        <v>78</v>
      </c>
    </row>
    <row r="49" spans="1:5">
      <c r="A49" s="24" t="s">
        <v>193</v>
      </c>
      <c r="B49" s="28" t="s">
        <v>194</v>
      </c>
      <c r="C49" s="29">
        <v>1305</v>
      </c>
      <c r="D49" s="30" t="s">
        <v>195</v>
      </c>
      <c r="E49" s="30" t="s">
        <v>78</v>
      </c>
    </row>
    <row r="50" spans="1:5">
      <c r="A50" s="24" t="s">
        <v>196</v>
      </c>
      <c r="B50" s="28" t="s">
        <v>197</v>
      </c>
      <c r="C50" s="31">
        <v>1350</v>
      </c>
      <c r="D50" s="30" t="s">
        <v>195</v>
      </c>
      <c r="E50" s="30" t="s">
        <v>78</v>
      </c>
    </row>
    <row r="51" spans="1:5">
      <c r="A51" s="24" t="s">
        <v>198</v>
      </c>
      <c r="B51" s="30"/>
      <c r="C51" s="55"/>
      <c r="D51" s="30"/>
      <c r="E51" s="49" t="s">
        <v>79</v>
      </c>
    </row>
    <row r="52" spans="1:5">
      <c r="A52" s="24" t="s">
        <v>199</v>
      </c>
      <c r="B52" s="30"/>
      <c r="C52" s="55"/>
      <c r="D52" s="30"/>
      <c r="E52" s="49" t="s">
        <v>79</v>
      </c>
    </row>
    <row r="53" spans="1:5">
      <c r="A53" s="24" t="s">
        <v>200</v>
      </c>
      <c r="B53" s="28" t="s">
        <v>201</v>
      </c>
      <c r="C53" s="29">
        <v>1044</v>
      </c>
      <c r="D53" s="30" t="s">
        <v>202</v>
      </c>
      <c r="E53" s="30" t="s">
        <v>78</v>
      </c>
    </row>
    <row r="54" spans="1:5">
      <c r="A54" s="24" t="s">
        <v>203</v>
      </c>
      <c r="B54" s="28" t="s">
        <v>204</v>
      </c>
      <c r="C54" s="29">
        <v>1086</v>
      </c>
      <c r="D54" s="30" t="s">
        <v>202</v>
      </c>
      <c r="E54" s="30" t="s">
        <v>78</v>
      </c>
    </row>
    <row r="55" spans="1:5">
      <c r="A55" s="24" t="s">
        <v>205</v>
      </c>
      <c r="B55" s="28" t="s">
        <v>206</v>
      </c>
      <c r="C55" s="29">
        <v>1155</v>
      </c>
      <c r="D55" s="30" t="s">
        <v>202</v>
      </c>
      <c r="E55" s="30" t="s">
        <v>78</v>
      </c>
    </row>
    <row r="56" spans="1:5">
      <c r="A56" s="24" t="s">
        <v>207</v>
      </c>
      <c r="B56" s="28" t="s">
        <v>208</v>
      </c>
      <c r="C56" s="29">
        <v>1178</v>
      </c>
      <c r="D56" s="30" t="s">
        <v>202</v>
      </c>
      <c r="E56" s="30" t="s">
        <v>78</v>
      </c>
    </row>
    <row r="57" spans="1:5">
      <c r="A57" s="24" t="s">
        <v>209</v>
      </c>
      <c r="B57" s="28" t="s">
        <v>210</v>
      </c>
      <c r="C57" s="29">
        <v>1179</v>
      </c>
      <c r="D57" s="30" t="s">
        <v>202</v>
      </c>
      <c r="E57" s="30" t="s">
        <v>78</v>
      </c>
    </row>
    <row r="58" spans="1:5">
      <c r="A58" s="24" t="s">
        <v>211</v>
      </c>
      <c r="B58" s="28" t="s">
        <v>212</v>
      </c>
      <c r="C58" s="54">
        <v>1352</v>
      </c>
      <c r="D58" s="30" t="s">
        <v>76</v>
      </c>
      <c r="E58" s="30" t="s">
        <v>78</v>
      </c>
    </row>
    <row r="59" spans="1:5">
      <c r="A59" s="24" t="s">
        <v>213</v>
      </c>
      <c r="B59" s="30"/>
      <c r="C59" s="55"/>
      <c r="D59" s="30"/>
      <c r="E59" s="49" t="s">
        <v>79</v>
      </c>
    </row>
    <row r="60" spans="1:5">
      <c r="A60" s="24" t="s">
        <v>214</v>
      </c>
      <c r="B60" s="30"/>
      <c r="C60" s="55"/>
      <c r="D60" s="30"/>
      <c r="E60" s="49" t="s">
        <v>79</v>
      </c>
    </row>
    <row r="61" spans="1:5">
      <c r="A61" s="24" t="s">
        <v>215</v>
      </c>
      <c r="B61" s="30"/>
      <c r="C61" s="55"/>
      <c r="D61" s="30"/>
      <c r="E61" s="49" t="s">
        <v>79</v>
      </c>
    </row>
    <row r="62" spans="1:5">
      <c r="A62" s="24" t="s">
        <v>216</v>
      </c>
      <c r="B62" s="30"/>
      <c r="C62" s="55"/>
      <c r="D62" s="30"/>
      <c r="E62" s="49" t="s">
        <v>79</v>
      </c>
    </row>
    <row r="63" spans="1:5">
      <c r="A63" s="24" t="s">
        <v>217</v>
      </c>
      <c r="B63" s="28" t="s">
        <v>218</v>
      </c>
      <c r="C63" s="29">
        <v>1104</v>
      </c>
      <c r="D63" s="30" t="s">
        <v>219</v>
      </c>
      <c r="E63" s="30" t="s">
        <v>78</v>
      </c>
    </row>
    <row r="64" spans="1:5">
      <c r="A64" s="24" t="s">
        <v>220</v>
      </c>
      <c r="B64" s="28" t="s">
        <v>221</v>
      </c>
      <c r="C64" s="29">
        <v>1196</v>
      </c>
      <c r="D64" s="30" t="s">
        <v>222</v>
      </c>
      <c r="E64" s="30" t="s">
        <v>78</v>
      </c>
    </row>
    <row r="65" spans="1:5">
      <c r="A65" s="24" t="s">
        <v>223</v>
      </c>
      <c r="B65" s="28" t="s">
        <v>224</v>
      </c>
      <c r="C65" s="29">
        <v>1250</v>
      </c>
      <c r="D65" s="30" t="s">
        <v>225</v>
      </c>
      <c r="E65" s="30" t="s">
        <v>78</v>
      </c>
    </row>
    <row r="66" spans="1:5">
      <c r="A66" s="24" t="s">
        <v>226</v>
      </c>
      <c r="B66" s="28" t="s">
        <v>227</v>
      </c>
      <c r="C66" s="29">
        <v>1273</v>
      </c>
      <c r="D66" s="30" t="s">
        <v>228</v>
      </c>
      <c r="E66" s="30" t="s">
        <v>78</v>
      </c>
    </row>
    <row r="67" spans="1:5">
      <c r="A67" s="24" t="s">
        <v>229</v>
      </c>
      <c r="B67" s="28" t="s">
        <v>230</v>
      </c>
      <c r="C67" s="29">
        <v>1278</v>
      </c>
      <c r="D67" s="30" t="s">
        <v>231</v>
      </c>
      <c r="E67" s="30" t="s">
        <v>78</v>
      </c>
    </row>
    <row r="68" spans="1:5">
      <c r="A68" s="24" t="s">
        <v>232</v>
      </c>
      <c r="B68" s="28" t="s">
        <v>233</v>
      </c>
      <c r="C68" s="29">
        <v>1284</v>
      </c>
      <c r="D68" s="30"/>
      <c r="E68" s="30" t="s">
        <v>78</v>
      </c>
    </row>
    <row r="69" spans="1:5">
      <c r="A69" s="24" t="s">
        <v>234</v>
      </c>
      <c r="B69" s="28" t="s">
        <v>235</v>
      </c>
      <c r="C69" s="29">
        <v>1315</v>
      </c>
      <c r="D69" s="30" t="s">
        <v>236</v>
      </c>
      <c r="E69" s="30" t="s">
        <v>78</v>
      </c>
    </row>
    <row r="70" spans="1:5">
      <c r="A70" s="24" t="s">
        <v>237</v>
      </c>
      <c r="B70" s="28" t="s">
        <v>238</v>
      </c>
      <c r="C70" s="32">
        <v>1356</v>
      </c>
      <c r="D70" s="30" t="s">
        <v>239</v>
      </c>
      <c r="E70" s="30" t="s">
        <v>78</v>
      </c>
    </row>
    <row r="71" spans="1:5">
      <c r="A71" s="24" t="s">
        <v>240</v>
      </c>
      <c r="B71" s="28" t="s">
        <v>241</v>
      </c>
      <c r="C71" s="32">
        <v>1358</v>
      </c>
      <c r="D71" s="30" t="s">
        <v>242</v>
      </c>
      <c r="E71" s="30" t="s">
        <v>78</v>
      </c>
    </row>
    <row r="72" spans="1:5">
      <c r="A72" s="24" t="s">
        <v>243</v>
      </c>
      <c r="B72" s="28" t="s">
        <v>244</v>
      </c>
      <c r="C72" s="52">
        <v>1364</v>
      </c>
      <c r="D72" s="30"/>
      <c r="E72" s="30" t="s">
        <v>78</v>
      </c>
    </row>
    <row r="73" spans="1:5">
      <c r="A73" s="24" t="s">
        <v>245</v>
      </c>
      <c r="B73" s="28" t="s">
        <v>246</v>
      </c>
      <c r="C73" s="29">
        <v>1296</v>
      </c>
      <c r="D73" s="30" t="s">
        <v>247</v>
      </c>
      <c r="E73" s="30" t="s">
        <v>78</v>
      </c>
    </row>
    <row r="74" spans="1:5">
      <c r="A74" s="24" t="s">
        <v>248</v>
      </c>
      <c r="B74" s="58" t="s">
        <v>249</v>
      </c>
      <c r="C74" s="54">
        <v>1388</v>
      </c>
      <c r="D74" s="30" t="s">
        <v>250</v>
      </c>
      <c r="E74" s="30" t="s">
        <v>78</v>
      </c>
    </row>
    <row r="75" spans="1:5">
      <c r="A75" s="24" t="s">
        <v>251</v>
      </c>
      <c r="B75" s="58" t="s">
        <v>252</v>
      </c>
      <c r="C75" s="54">
        <v>1389</v>
      </c>
      <c r="D75" s="30" t="s">
        <v>253</v>
      </c>
      <c r="E75" s="30" t="s">
        <v>78</v>
      </c>
    </row>
    <row r="76" spans="1:5">
      <c r="A76" s="24" t="s">
        <v>254</v>
      </c>
      <c r="B76" s="58" t="s">
        <v>255</v>
      </c>
      <c r="C76" s="54">
        <v>1382</v>
      </c>
      <c r="D76" s="30" t="s">
        <v>256</v>
      </c>
      <c r="E76" s="30" t="s">
        <v>78</v>
      </c>
    </row>
    <row r="77" spans="1:5">
      <c r="A77" s="24" t="s">
        <v>257</v>
      </c>
      <c r="B77" s="73" t="s">
        <v>258</v>
      </c>
      <c r="C77" s="29">
        <v>1258</v>
      </c>
      <c r="D77" s="30" t="s">
        <v>259</v>
      </c>
      <c r="E77" s="30" t="s">
        <v>78</v>
      </c>
    </row>
    <row r="78" spans="1:5">
      <c r="A78" s="24" t="s">
        <v>260</v>
      </c>
      <c r="B78" s="73" t="s">
        <v>261</v>
      </c>
      <c r="C78" s="29">
        <v>1259</v>
      </c>
      <c r="D78" s="30" t="s">
        <v>262</v>
      </c>
      <c r="E78" s="30" t="s">
        <v>78</v>
      </c>
    </row>
    <row r="79" spans="1:5">
      <c r="A79" s="24" t="s">
        <v>263</v>
      </c>
      <c r="B79" s="58" t="s">
        <v>264</v>
      </c>
      <c r="C79" s="54">
        <v>1384</v>
      </c>
      <c r="D79" s="30"/>
      <c r="E79" s="30" t="s">
        <v>78</v>
      </c>
    </row>
    <row r="80" spans="1:5">
      <c r="A80" s="24" t="s">
        <v>265</v>
      </c>
      <c r="B80" s="24" t="s">
        <v>266</v>
      </c>
      <c r="C80" s="55" t="s">
        <v>267</v>
      </c>
      <c r="D80" s="30"/>
      <c r="E80" s="30" t="s">
        <v>78</v>
      </c>
    </row>
    <row r="81" spans="1:5">
      <c r="A81" s="24" t="s">
        <v>268</v>
      </c>
      <c r="B81" s="28" t="s">
        <v>269</v>
      </c>
      <c r="C81" s="29">
        <v>1185</v>
      </c>
      <c r="D81" s="30" t="s">
        <v>270</v>
      </c>
      <c r="E81" s="30" t="s">
        <v>78</v>
      </c>
    </row>
    <row r="82" spans="1:5">
      <c r="A82" s="24" t="s">
        <v>271</v>
      </c>
      <c r="B82" s="28" t="s">
        <v>272</v>
      </c>
      <c r="C82" s="29">
        <v>1212</v>
      </c>
      <c r="D82" s="30" t="s">
        <v>273</v>
      </c>
      <c r="E82" s="30" t="s">
        <v>78</v>
      </c>
    </row>
    <row r="83" spans="1:5">
      <c r="A83" s="24" t="s">
        <v>274</v>
      </c>
      <c r="B83" s="28" t="s">
        <v>275</v>
      </c>
      <c r="C83" s="29">
        <v>1228</v>
      </c>
      <c r="D83" s="30" t="s">
        <v>276</v>
      </c>
      <c r="E83" s="30" t="s">
        <v>78</v>
      </c>
    </row>
    <row r="84" spans="1:5">
      <c r="A84" s="24" t="s">
        <v>277</v>
      </c>
      <c r="B84" s="28" t="s">
        <v>278</v>
      </c>
      <c r="C84" s="29">
        <v>1230</v>
      </c>
      <c r="D84" s="30" t="s">
        <v>276</v>
      </c>
      <c r="E84" s="30" t="s">
        <v>78</v>
      </c>
    </row>
    <row r="85" spans="1:5">
      <c r="A85" s="24" t="s">
        <v>279</v>
      </c>
      <c r="B85" s="30" t="s">
        <v>280</v>
      </c>
      <c r="C85" s="55">
        <v>1291</v>
      </c>
      <c r="D85" s="30" t="s">
        <v>281</v>
      </c>
      <c r="E85" s="30" t="s">
        <v>78</v>
      </c>
    </row>
    <row r="86" spans="1:5">
      <c r="A86" s="24" t="s">
        <v>282</v>
      </c>
      <c r="B86" s="30" t="s">
        <v>283</v>
      </c>
      <c r="C86" s="55">
        <v>1359</v>
      </c>
      <c r="D86" s="30" t="s">
        <v>284</v>
      </c>
      <c r="E86" s="30" t="s">
        <v>78</v>
      </c>
    </row>
    <row r="87" spans="1:5">
      <c r="A87" s="24" t="s">
        <v>285</v>
      </c>
      <c r="B87" s="30" t="s">
        <v>286</v>
      </c>
      <c r="C87" s="55">
        <v>1290</v>
      </c>
      <c r="D87" s="30" t="s">
        <v>287</v>
      </c>
      <c r="E87" s="30" t="s">
        <v>78</v>
      </c>
    </row>
    <row r="88" spans="1:5">
      <c r="A88" s="24" t="s">
        <v>288</v>
      </c>
      <c r="B88" s="28" t="s">
        <v>289</v>
      </c>
      <c r="C88" s="29">
        <v>1281</v>
      </c>
      <c r="D88" s="30" t="s">
        <v>290</v>
      </c>
      <c r="E88" s="30" t="s">
        <v>78</v>
      </c>
    </row>
    <row r="89" spans="1:5">
      <c r="A89" s="24" t="s">
        <v>291</v>
      </c>
      <c r="B89" s="30" t="s">
        <v>292</v>
      </c>
      <c r="C89" s="27" t="s">
        <v>293</v>
      </c>
      <c r="D89" s="30" t="s">
        <v>294</v>
      </c>
      <c r="E89" s="30" t="s">
        <v>78</v>
      </c>
    </row>
    <row r="90" spans="1:5">
      <c r="A90" s="24" t="s">
        <v>295</v>
      </c>
      <c r="B90" s="30" t="s">
        <v>296</v>
      </c>
      <c r="C90" s="27" t="s">
        <v>297</v>
      </c>
      <c r="D90" s="30" t="s">
        <v>298</v>
      </c>
      <c r="E90" s="30" t="s">
        <v>78</v>
      </c>
    </row>
    <row r="91" spans="1:5">
      <c r="A91" s="24" t="s">
        <v>299</v>
      </c>
      <c r="B91" s="58" t="s">
        <v>300</v>
      </c>
      <c r="C91" s="54" t="s">
        <v>301</v>
      </c>
      <c r="D91" s="30" t="s">
        <v>302</v>
      </c>
      <c r="E91" s="30" t="s">
        <v>78</v>
      </c>
    </row>
    <row r="92" spans="1:5">
      <c r="A92" s="24" t="s">
        <v>303</v>
      </c>
      <c r="B92" s="30" t="s">
        <v>304</v>
      </c>
      <c r="C92" s="27" t="s">
        <v>305</v>
      </c>
      <c r="D92" s="30" t="s">
        <v>302</v>
      </c>
      <c r="E92" s="30" t="s">
        <v>78</v>
      </c>
    </row>
    <row r="93" spans="1:5">
      <c r="A93" s="24" t="s">
        <v>306</v>
      </c>
      <c r="B93" s="25" t="s">
        <v>307</v>
      </c>
      <c r="C93" s="26" t="s">
        <v>308</v>
      </c>
      <c r="D93" s="30" t="s">
        <v>309</v>
      </c>
      <c r="E93" s="30" t="s">
        <v>78</v>
      </c>
    </row>
    <row r="94" spans="1:5">
      <c r="A94" s="24" t="s">
        <v>310</v>
      </c>
      <c r="B94" s="28" t="s">
        <v>311</v>
      </c>
      <c r="C94" s="29">
        <v>1251</v>
      </c>
      <c r="D94" s="30" t="s">
        <v>312</v>
      </c>
      <c r="E94" s="30" t="s">
        <v>78</v>
      </c>
    </row>
    <row r="95" spans="1:5">
      <c r="A95" s="24" t="s">
        <v>313</v>
      </c>
      <c r="B95" s="28" t="s">
        <v>314</v>
      </c>
      <c r="C95" s="29">
        <v>1283</v>
      </c>
      <c r="D95" s="30" t="s">
        <v>315</v>
      </c>
      <c r="E95" s="30" t="s">
        <v>78</v>
      </c>
    </row>
    <row r="96" spans="1:5">
      <c r="A96" s="24" t="s">
        <v>316</v>
      </c>
      <c r="B96" s="74" t="s">
        <v>317</v>
      </c>
      <c r="C96" s="74"/>
      <c r="D96" s="30" t="s">
        <v>318</v>
      </c>
      <c r="E96" s="30" t="s">
        <v>78</v>
      </c>
    </row>
    <row r="97" spans="1:5">
      <c r="A97" s="24" t="s">
        <v>319</v>
      </c>
      <c r="B97" s="25" t="s">
        <v>320</v>
      </c>
      <c r="C97" s="26" t="s">
        <v>321</v>
      </c>
      <c r="D97" s="30"/>
      <c r="E97" s="30" t="s">
        <v>78</v>
      </c>
    </row>
    <row r="98" spans="1:5">
      <c r="A98" s="24" t="s">
        <v>322</v>
      </c>
      <c r="B98" s="53" t="s">
        <v>323</v>
      </c>
      <c r="C98" s="54">
        <v>1391</v>
      </c>
      <c r="D98" s="30" t="s">
        <v>324</v>
      </c>
      <c r="E98" s="30" t="s">
        <v>78</v>
      </c>
    </row>
    <row r="99" spans="1:5">
      <c r="A99" s="24" t="s">
        <v>325</v>
      </c>
      <c r="B99" s="58" t="s">
        <v>326</v>
      </c>
      <c r="C99" s="54">
        <v>1392</v>
      </c>
      <c r="D99" s="30" t="s">
        <v>327</v>
      </c>
      <c r="E99" s="30" t="s">
        <v>78</v>
      </c>
    </row>
    <row r="100" spans="1:5">
      <c r="A100" s="24" t="s">
        <v>328</v>
      </c>
      <c r="B100" s="58" t="s">
        <v>329</v>
      </c>
      <c r="C100" s="54">
        <v>1390</v>
      </c>
      <c r="D100" s="30" t="s">
        <v>330</v>
      </c>
      <c r="E100" s="30" t="s">
        <v>78</v>
      </c>
    </row>
    <row r="101" spans="1:5">
      <c r="A101" s="24" t="s">
        <v>331</v>
      </c>
      <c r="B101" s="28" t="s">
        <v>332</v>
      </c>
      <c r="C101" s="31">
        <v>1343</v>
      </c>
      <c r="D101" s="30" t="s">
        <v>333</v>
      </c>
      <c r="E101" s="30" t="s">
        <v>78</v>
      </c>
    </row>
    <row r="102" spans="1:5">
      <c r="A102" s="24" t="s">
        <v>334</v>
      </c>
      <c r="B102" s="28" t="s">
        <v>335</v>
      </c>
      <c r="C102" s="32">
        <v>1362</v>
      </c>
      <c r="D102" s="30" t="s">
        <v>336</v>
      </c>
      <c r="E102" s="30" t="s">
        <v>78</v>
      </c>
    </row>
    <row r="103" spans="1:5">
      <c r="A103" s="24" t="s">
        <v>337</v>
      </c>
      <c r="B103" s="58" t="s">
        <v>338</v>
      </c>
      <c r="C103" s="54">
        <v>1370</v>
      </c>
      <c r="D103" s="30" t="s">
        <v>339</v>
      </c>
      <c r="E103" s="30" t="s">
        <v>78</v>
      </c>
    </row>
    <row r="104" spans="1:5">
      <c r="A104" s="24" t="s">
        <v>340</v>
      </c>
      <c r="B104" s="58" t="s">
        <v>341</v>
      </c>
      <c r="C104" s="54">
        <v>1371</v>
      </c>
      <c r="D104" s="30" t="s">
        <v>342</v>
      </c>
      <c r="E104" s="30" t="s">
        <v>78</v>
      </c>
    </row>
    <row r="105" spans="1:5">
      <c r="A105" s="24" t="s">
        <v>343</v>
      </c>
      <c r="B105" s="28" t="s">
        <v>344</v>
      </c>
      <c r="C105" s="29">
        <v>1309</v>
      </c>
      <c r="D105" s="30" t="s">
        <v>345</v>
      </c>
      <c r="E105" s="30" t="s">
        <v>78</v>
      </c>
    </row>
    <row r="106" spans="1:5">
      <c r="A106" s="24" t="s">
        <v>346</v>
      </c>
      <c r="B106" s="28" t="s">
        <v>347</v>
      </c>
      <c r="C106" s="29">
        <v>1310</v>
      </c>
      <c r="D106" s="30" t="s">
        <v>348</v>
      </c>
      <c r="E106" s="30" t="s">
        <v>78</v>
      </c>
    </row>
    <row r="107" spans="1:5">
      <c r="A107" s="24" t="s">
        <v>349</v>
      </c>
      <c r="B107" s="58" t="s">
        <v>350</v>
      </c>
      <c r="C107" s="54">
        <v>8069</v>
      </c>
      <c r="D107" s="30" t="s">
        <v>351</v>
      </c>
      <c r="E107" s="30" t="s">
        <v>78</v>
      </c>
    </row>
    <row r="108" spans="1:5">
      <c r="A108" s="24" t="s">
        <v>352</v>
      </c>
      <c r="B108" s="24"/>
      <c r="C108" s="55"/>
      <c r="D108" s="30" t="s">
        <v>353</v>
      </c>
      <c r="E108" s="49" t="s">
        <v>79</v>
      </c>
    </row>
    <row r="109" spans="1:5">
      <c r="A109" s="24" t="s">
        <v>354</v>
      </c>
      <c r="B109" s="28" t="s">
        <v>355</v>
      </c>
      <c r="C109" s="29">
        <v>1038</v>
      </c>
      <c r="D109" s="30" t="s">
        <v>356</v>
      </c>
      <c r="E109" s="30" t="s">
        <v>78</v>
      </c>
    </row>
    <row r="110" spans="1:5">
      <c r="A110" s="24" t="s">
        <v>357</v>
      </c>
      <c r="B110" s="28" t="s">
        <v>358</v>
      </c>
      <c r="C110" s="29">
        <v>1151</v>
      </c>
      <c r="D110" s="30" t="s">
        <v>359</v>
      </c>
      <c r="E110" s="30" t="s">
        <v>78</v>
      </c>
    </row>
    <row r="111" spans="1:5">
      <c r="A111" s="24" t="s">
        <v>360</v>
      </c>
      <c r="B111" s="28" t="s">
        <v>361</v>
      </c>
      <c r="C111" s="29">
        <v>1167</v>
      </c>
      <c r="D111" s="30" t="s">
        <v>362</v>
      </c>
      <c r="E111" s="30" t="s">
        <v>78</v>
      </c>
    </row>
    <row r="112" spans="1:5">
      <c r="A112" s="24" t="s">
        <v>363</v>
      </c>
      <c r="B112" s="28" t="s">
        <v>364</v>
      </c>
      <c r="C112" s="29">
        <v>1249</v>
      </c>
      <c r="D112" s="30" t="s">
        <v>365</v>
      </c>
      <c r="E112" s="30" t="s">
        <v>78</v>
      </c>
    </row>
    <row r="113" spans="1:5">
      <c r="A113" s="24" t="s">
        <v>366</v>
      </c>
      <c r="B113" s="28" t="s">
        <v>367</v>
      </c>
      <c r="C113" s="31">
        <v>1348</v>
      </c>
      <c r="D113" s="30" t="s">
        <v>368</v>
      </c>
      <c r="E113" s="30" t="s">
        <v>78</v>
      </c>
    </row>
    <row r="114" spans="1:5">
      <c r="A114" s="24" t="s">
        <v>369</v>
      </c>
      <c r="B114" s="28" t="s">
        <v>370</v>
      </c>
      <c r="C114" s="54">
        <v>1366</v>
      </c>
      <c r="D114" s="30" t="s">
        <v>368</v>
      </c>
      <c r="E114" s="30" t="s">
        <v>78</v>
      </c>
    </row>
    <row r="115" spans="1:5">
      <c r="A115" s="24" t="s">
        <v>371</v>
      </c>
      <c r="B115" s="28" t="s">
        <v>372</v>
      </c>
      <c r="C115" s="29">
        <v>1144</v>
      </c>
      <c r="D115" s="34" t="s">
        <v>373</v>
      </c>
      <c r="E115" s="34" t="s">
        <v>78</v>
      </c>
    </row>
    <row r="116" spans="1:5">
      <c r="A116" s="24" t="s">
        <v>374</v>
      </c>
      <c r="B116" s="28" t="s">
        <v>375</v>
      </c>
      <c r="C116" s="29">
        <v>1234</v>
      </c>
      <c r="D116" s="34" t="s">
        <v>376</v>
      </c>
      <c r="E116" s="34" t="s">
        <v>377</v>
      </c>
    </row>
    <row r="117" spans="1:5">
      <c r="A117" s="24" t="s">
        <v>378</v>
      </c>
      <c r="B117" s="28" t="s">
        <v>379</v>
      </c>
      <c r="C117" s="29">
        <v>1236</v>
      </c>
      <c r="D117" s="30" t="s">
        <v>380</v>
      </c>
      <c r="E117" s="30" t="s">
        <v>78</v>
      </c>
    </row>
    <row r="118" spans="1:5">
      <c r="A118" s="24" t="s">
        <v>381</v>
      </c>
      <c r="B118" s="28" t="s">
        <v>382</v>
      </c>
      <c r="C118" s="31">
        <v>1333</v>
      </c>
      <c r="D118" s="34" t="s">
        <v>383</v>
      </c>
      <c r="E118" s="34" t="s">
        <v>78</v>
      </c>
    </row>
    <row r="119" spans="1:5">
      <c r="A119" s="24" t="s">
        <v>384</v>
      </c>
      <c r="B119" s="28" t="s">
        <v>385</v>
      </c>
      <c r="C119" s="31">
        <v>1339</v>
      </c>
      <c r="D119" s="34" t="s">
        <v>386</v>
      </c>
      <c r="E119" s="34" t="s">
        <v>78</v>
      </c>
    </row>
    <row r="120" spans="1:5">
      <c r="A120" s="24" t="s">
        <v>387</v>
      </c>
      <c r="B120" s="28" t="s">
        <v>388</v>
      </c>
      <c r="C120" s="31">
        <v>1347</v>
      </c>
      <c r="D120" s="30" t="s">
        <v>383</v>
      </c>
      <c r="E120" s="30" t="s">
        <v>78</v>
      </c>
    </row>
    <row r="121" spans="1:5">
      <c r="A121" s="24" t="s">
        <v>389</v>
      </c>
      <c r="B121" s="28" t="s">
        <v>390</v>
      </c>
      <c r="C121" s="31">
        <v>1344</v>
      </c>
      <c r="D121" s="30" t="s">
        <v>383</v>
      </c>
      <c r="E121" s="30" t="s">
        <v>78</v>
      </c>
    </row>
    <row r="122" spans="1:5">
      <c r="A122" s="24" t="s">
        <v>391</v>
      </c>
      <c r="B122" s="28" t="s">
        <v>392</v>
      </c>
      <c r="C122" s="31">
        <v>1361</v>
      </c>
      <c r="D122" s="30" t="s">
        <v>393</v>
      </c>
      <c r="E122" s="30" t="s">
        <v>78</v>
      </c>
    </row>
    <row r="123" spans="1:5">
      <c r="A123" s="24" t="s">
        <v>394</v>
      </c>
      <c r="B123" s="58" t="s">
        <v>395</v>
      </c>
      <c r="C123" s="54">
        <v>1378</v>
      </c>
      <c r="D123" s="30"/>
      <c r="E123" s="30" t="s">
        <v>78</v>
      </c>
    </row>
    <row r="124" spans="1:5">
      <c r="A124" s="24" t="s">
        <v>396</v>
      </c>
      <c r="B124" s="58" t="s">
        <v>397</v>
      </c>
      <c r="C124" s="54">
        <v>1386</v>
      </c>
      <c r="D124" s="30" t="s">
        <v>398</v>
      </c>
      <c r="E124" s="30" t="s">
        <v>78</v>
      </c>
    </row>
    <row r="125" spans="1:5">
      <c r="A125" s="24" t="s">
        <v>399</v>
      </c>
      <c r="B125" s="75"/>
      <c r="C125" s="55"/>
      <c r="D125" s="30" t="s">
        <v>400</v>
      </c>
      <c r="E125" s="30" t="s">
        <v>78</v>
      </c>
    </row>
    <row r="126" spans="1:5">
      <c r="A126" s="24" t="s">
        <v>401</v>
      </c>
      <c r="B126" s="75"/>
      <c r="C126" s="55"/>
      <c r="D126" s="30"/>
      <c r="E126" s="49" t="s">
        <v>79</v>
      </c>
    </row>
    <row r="127" spans="1:5">
      <c r="A127" s="24" t="s">
        <v>402</v>
      </c>
      <c r="B127" s="75"/>
      <c r="C127" s="55"/>
      <c r="D127" s="30"/>
      <c r="E127" s="49" t="s">
        <v>79</v>
      </c>
    </row>
    <row r="128" spans="1:5">
      <c r="A128" s="24" t="s">
        <v>403</v>
      </c>
      <c r="B128" s="5"/>
      <c r="C128" s="5"/>
      <c r="D128" s="30" t="s">
        <v>404</v>
      </c>
      <c r="E128" s="30" t="s">
        <v>405</v>
      </c>
    </row>
    <row r="129" spans="1:5">
      <c r="A129" s="24" t="s">
        <v>406</v>
      </c>
      <c r="B129" s="25" t="s">
        <v>407</v>
      </c>
      <c r="C129" s="26" t="s">
        <v>408</v>
      </c>
      <c r="D129" s="30" t="s">
        <v>409</v>
      </c>
      <c r="E129" s="30" t="s">
        <v>410</v>
      </c>
    </row>
    <row r="130" spans="1:5">
      <c r="A130" s="24" t="s">
        <v>411</v>
      </c>
      <c r="B130" s="28" t="s">
        <v>412</v>
      </c>
      <c r="C130" s="29">
        <v>1126</v>
      </c>
      <c r="D130" s="30" t="s">
        <v>413</v>
      </c>
      <c r="E130" s="30" t="s">
        <v>410</v>
      </c>
    </row>
    <row r="131" spans="1:5">
      <c r="A131" s="24" t="s">
        <v>414</v>
      </c>
      <c r="B131" s="28" t="s">
        <v>415</v>
      </c>
      <c r="C131" s="29">
        <v>1202</v>
      </c>
      <c r="D131" s="30" t="s">
        <v>416</v>
      </c>
      <c r="E131" s="30" t="s">
        <v>410</v>
      </c>
    </row>
    <row r="132" spans="1:5">
      <c r="A132" s="24" t="s">
        <v>417</v>
      </c>
      <c r="B132" s="51" t="s">
        <v>418</v>
      </c>
      <c r="C132" s="29">
        <v>1235</v>
      </c>
      <c r="D132" s="30"/>
      <c r="E132" s="30" t="s">
        <v>410</v>
      </c>
    </row>
    <row r="133" spans="1:5">
      <c r="A133" s="24" t="s">
        <v>419</v>
      </c>
      <c r="B133" s="51" t="s">
        <v>420</v>
      </c>
      <c r="C133" s="29">
        <v>1253</v>
      </c>
      <c r="D133" s="30"/>
      <c r="E133" s="30" t="s">
        <v>410</v>
      </c>
    </row>
    <row r="134" spans="1:5">
      <c r="A134" s="24" t="s">
        <v>421</v>
      </c>
      <c r="B134" s="28" t="s">
        <v>422</v>
      </c>
      <c r="C134" s="29">
        <v>1312</v>
      </c>
      <c r="D134" s="30"/>
      <c r="E134" s="30" t="s">
        <v>410</v>
      </c>
    </row>
    <row r="135" spans="1:5">
      <c r="A135" s="24" t="s">
        <v>423</v>
      </c>
      <c r="B135" s="28" t="s">
        <v>424</v>
      </c>
      <c r="C135" s="31">
        <v>1342</v>
      </c>
      <c r="D135" s="30"/>
      <c r="E135" s="30" t="s">
        <v>410</v>
      </c>
    </row>
    <row r="136" spans="1:5">
      <c r="A136" s="24" t="s">
        <v>425</v>
      </c>
      <c r="B136" s="28" t="s">
        <v>426</v>
      </c>
      <c r="C136" s="31">
        <v>1349</v>
      </c>
      <c r="D136" s="76"/>
      <c r="E136" s="30" t="s">
        <v>410</v>
      </c>
    </row>
    <row r="137" spans="1:5">
      <c r="A137" s="24" t="s">
        <v>427</v>
      </c>
      <c r="B137" s="28" t="s">
        <v>197</v>
      </c>
      <c r="C137" s="31">
        <v>1350</v>
      </c>
      <c r="D137" s="76"/>
      <c r="E137" s="30" t="s">
        <v>410</v>
      </c>
    </row>
    <row r="138" spans="1:5">
      <c r="A138" s="24" t="s">
        <v>428</v>
      </c>
      <c r="B138" s="28" t="s">
        <v>429</v>
      </c>
      <c r="C138" s="31">
        <v>1334</v>
      </c>
      <c r="D138" s="30"/>
      <c r="E138" s="30" t="s">
        <v>377</v>
      </c>
    </row>
    <row r="139" spans="1:5">
      <c r="A139" s="24" t="s">
        <v>430</v>
      </c>
      <c r="B139" s="28" t="s">
        <v>431</v>
      </c>
      <c r="C139" s="31">
        <v>1335</v>
      </c>
      <c r="D139" s="30"/>
      <c r="E139" s="30" t="s">
        <v>377</v>
      </c>
    </row>
    <row r="140" spans="1:5">
      <c r="A140" s="24" t="s">
        <v>432</v>
      </c>
      <c r="B140" s="28" t="s">
        <v>433</v>
      </c>
      <c r="C140" s="54">
        <v>1351</v>
      </c>
      <c r="D140" s="30"/>
      <c r="E140" s="30" t="s">
        <v>377</v>
      </c>
    </row>
    <row r="141" spans="1:5">
      <c r="A141" s="24" t="s">
        <v>434</v>
      </c>
      <c r="B141" s="28" t="s">
        <v>435</v>
      </c>
      <c r="C141" s="32">
        <v>1363</v>
      </c>
      <c r="D141" s="30"/>
      <c r="E141" s="30" t="s">
        <v>377</v>
      </c>
    </row>
    <row r="142" spans="1:5">
      <c r="A142" s="24" t="s">
        <v>436</v>
      </c>
      <c r="B142" s="28" t="s">
        <v>437</v>
      </c>
      <c r="C142" s="31">
        <v>1325</v>
      </c>
      <c r="D142" s="30"/>
      <c r="E142" s="30" t="s">
        <v>410</v>
      </c>
    </row>
    <row r="143" spans="1:5">
      <c r="A143" s="24" t="s">
        <v>438</v>
      </c>
      <c r="B143" s="28" t="s">
        <v>439</v>
      </c>
      <c r="C143" s="31">
        <v>1326</v>
      </c>
      <c r="D143" s="30"/>
      <c r="E143" s="30" t="s">
        <v>410</v>
      </c>
    </row>
    <row r="144" spans="1:5">
      <c r="A144" s="24" t="s">
        <v>440</v>
      </c>
      <c r="B144" s="28" t="s">
        <v>441</v>
      </c>
      <c r="C144" s="31">
        <v>1327</v>
      </c>
      <c r="D144" s="30"/>
      <c r="E144" s="30" t="s">
        <v>410</v>
      </c>
    </row>
    <row r="145" spans="1:5">
      <c r="A145" s="24" t="s">
        <v>442</v>
      </c>
      <c r="B145" s="58" t="s">
        <v>443</v>
      </c>
      <c r="C145" s="54">
        <v>1368</v>
      </c>
      <c r="D145" s="30"/>
      <c r="E145" s="30" t="s">
        <v>410</v>
      </c>
    </row>
    <row r="146" spans="1:5">
      <c r="A146" s="24" t="s">
        <v>444</v>
      </c>
      <c r="B146" s="28" t="s">
        <v>445</v>
      </c>
      <c r="C146" s="29">
        <v>1270</v>
      </c>
      <c r="D146" s="30" t="s">
        <v>446</v>
      </c>
      <c r="E146" s="30" t="s">
        <v>410</v>
      </c>
    </row>
    <row r="147" spans="1:5">
      <c r="A147" s="24" t="s">
        <v>447</v>
      </c>
      <c r="B147" s="28" t="s">
        <v>448</v>
      </c>
      <c r="C147" s="29">
        <v>1298</v>
      </c>
      <c r="D147" s="30" t="s">
        <v>446</v>
      </c>
      <c r="E147" s="30" t="s">
        <v>410</v>
      </c>
    </row>
    <row r="148" spans="1:5">
      <c r="A148" s="24" t="s">
        <v>449</v>
      </c>
      <c r="B148" s="28" t="s">
        <v>450</v>
      </c>
      <c r="C148" s="29">
        <v>1314</v>
      </c>
      <c r="D148" s="30" t="s">
        <v>446</v>
      </c>
      <c r="E148" s="30" t="s">
        <v>410</v>
      </c>
    </row>
    <row r="149" spans="1:5">
      <c r="A149" s="24" t="s">
        <v>451</v>
      </c>
      <c r="B149" s="28" t="s">
        <v>452</v>
      </c>
      <c r="C149" s="31">
        <v>1332</v>
      </c>
      <c r="D149" s="30" t="s">
        <v>446</v>
      </c>
      <c r="E149" s="30" t="s">
        <v>410</v>
      </c>
    </row>
    <row r="150" spans="1:5">
      <c r="A150" s="24" t="s">
        <v>453</v>
      </c>
      <c r="B150" s="28" t="s">
        <v>454</v>
      </c>
      <c r="C150" s="31">
        <v>1336</v>
      </c>
      <c r="D150" s="30" t="s">
        <v>455</v>
      </c>
      <c r="E150" s="30" t="s">
        <v>410</v>
      </c>
    </row>
    <row r="151" spans="1:5">
      <c r="A151" s="24" t="s">
        <v>456</v>
      </c>
      <c r="B151" s="28" t="s">
        <v>457</v>
      </c>
      <c r="C151" s="31">
        <v>1337</v>
      </c>
      <c r="D151" s="30" t="s">
        <v>455</v>
      </c>
      <c r="E151" s="30" t="s">
        <v>410</v>
      </c>
    </row>
    <row r="152" spans="1:5">
      <c r="A152" s="24" t="s">
        <v>458</v>
      </c>
      <c r="B152" s="58" t="s">
        <v>459</v>
      </c>
      <c r="C152" s="54">
        <v>1372</v>
      </c>
      <c r="D152" s="30" t="s">
        <v>455</v>
      </c>
      <c r="E152" s="30" t="s">
        <v>410</v>
      </c>
    </row>
    <row r="153" spans="1:5">
      <c r="A153" s="24" t="s">
        <v>460</v>
      </c>
      <c r="B153" s="75"/>
      <c r="C153" s="55"/>
      <c r="D153" s="30"/>
      <c r="E153" s="30" t="s">
        <v>79</v>
      </c>
    </row>
    <row r="154" spans="1:5">
      <c r="A154" s="24" t="s">
        <v>461</v>
      </c>
      <c r="B154" s="25" t="s">
        <v>462</v>
      </c>
      <c r="C154" s="26" t="s">
        <v>463</v>
      </c>
      <c r="D154" s="30"/>
      <c r="E154" s="30" t="s">
        <v>377</v>
      </c>
    </row>
    <row r="155" spans="1:5">
      <c r="A155" s="24" t="s">
        <v>464</v>
      </c>
      <c r="B155" s="25" t="s">
        <v>465</v>
      </c>
      <c r="C155" s="26" t="s">
        <v>466</v>
      </c>
      <c r="D155" s="30"/>
      <c r="E155" s="30" t="s">
        <v>377</v>
      </c>
    </row>
    <row r="156" spans="1:5">
      <c r="A156" s="24" t="s">
        <v>467</v>
      </c>
      <c r="B156" s="25" t="s">
        <v>468</v>
      </c>
      <c r="C156" s="26" t="s">
        <v>469</v>
      </c>
      <c r="D156" s="30"/>
      <c r="E156" s="30" t="s">
        <v>377</v>
      </c>
    </row>
    <row r="157" spans="1:5">
      <c r="A157" s="24" t="s">
        <v>470</v>
      </c>
      <c r="B157" s="28" t="s">
        <v>471</v>
      </c>
      <c r="C157" s="29">
        <v>1054</v>
      </c>
      <c r="D157" s="30"/>
      <c r="E157" s="30" t="s">
        <v>377</v>
      </c>
    </row>
    <row r="158" spans="1:5">
      <c r="A158" s="24" t="s">
        <v>472</v>
      </c>
      <c r="B158" s="77" t="s">
        <v>473</v>
      </c>
      <c r="C158" s="29">
        <v>1149</v>
      </c>
      <c r="D158" s="30"/>
      <c r="E158" s="30" t="s">
        <v>377</v>
      </c>
    </row>
    <row r="159" spans="1:5">
      <c r="A159" s="24" t="s">
        <v>474</v>
      </c>
      <c r="B159" s="78" t="s">
        <v>475</v>
      </c>
      <c r="C159" s="29">
        <v>1243</v>
      </c>
      <c r="D159" s="30"/>
      <c r="E159" s="30" t="s">
        <v>377</v>
      </c>
    </row>
    <row r="160" spans="1:5" ht="29">
      <c r="A160" s="24" t="s">
        <v>476</v>
      </c>
      <c r="B160" s="78" t="s">
        <v>477</v>
      </c>
      <c r="C160" s="29">
        <v>1264</v>
      </c>
      <c r="D160" s="30"/>
      <c r="E160" s="30" t="s">
        <v>377</v>
      </c>
    </row>
    <row r="161" spans="1:5">
      <c r="A161" s="24" t="s">
        <v>478</v>
      </c>
      <c r="B161" s="28" t="s">
        <v>479</v>
      </c>
      <c r="C161" s="31">
        <v>1341</v>
      </c>
      <c r="D161" s="30"/>
      <c r="E161" s="30" t="s">
        <v>377</v>
      </c>
    </row>
    <row r="162" spans="1:5">
      <c r="A162" s="24" t="s">
        <v>480</v>
      </c>
      <c r="B162" s="28" t="s">
        <v>481</v>
      </c>
      <c r="C162" s="54">
        <v>1353</v>
      </c>
      <c r="D162" s="30"/>
      <c r="E162" s="30" t="s">
        <v>377</v>
      </c>
    </row>
    <row r="163" spans="1:5">
      <c r="A163" s="24" t="s">
        <v>482</v>
      </c>
      <c r="B163" s="79" t="s">
        <v>483</v>
      </c>
      <c r="C163" s="80" t="s">
        <v>484</v>
      </c>
      <c r="D163" s="30"/>
      <c r="E163" s="30" t="s">
        <v>377</v>
      </c>
    </row>
    <row r="164" spans="1:5">
      <c r="A164" s="24" t="s">
        <v>485</v>
      </c>
      <c r="B164" s="28" t="s">
        <v>486</v>
      </c>
      <c r="C164" s="31">
        <v>1329</v>
      </c>
      <c r="D164" s="30"/>
      <c r="E164" s="30" t="s">
        <v>377</v>
      </c>
    </row>
    <row r="165" spans="1:5">
      <c r="A165" s="24" t="s">
        <v>487</v>
      </c>
      <c r="B165" s="58" t="s">
        <v>488</v>
      </c>
      <c r="C165" s="54">
        <v>1387</v>
      </c>
      <c r="D165" s="30"/>
      <c r="E165" s="30" t="s">
        <v>377</v>
      </c>
    </row>
    <row r="166" spans="1:5">
      <c r="A166" s="24" t="s">
        <v>489</v>
      </c>
      <c r="B166" s="58" t="s">
        <v>490</v>
      </c>
      <c r="C166" s="54">
        <v>1379</v>
      </c>
      <c r="D166" s="30"/>
      <c r="E166" s="30" t="s">
        <v>377</v>
      </c>
    </row>
    <row r="167" spans="1:5">
      <c r="A167" s="24" t="s">
        <v>491</v>
      </c>
      <c r="B167" s="58" t="s">
        <v>492</v>
      </c>
      <c r="C167" s="54">
        <v>1381</v>
      </c>
      <c r="D167" s="30"/>
      <c r="E167" s="30" t="s">
        <v>377</v>
      </c>
    </row>
    <row r="168" spans="1:5">
      <c r="A168" s="24" t="s">
        <v>493</v>
      </c>
      <c r="B168" s="58" t="s">
        <v>494</v>
      </c>
      <c r="C168" s="54">
        <v>8068</v>
      </c>
      <c r="D168" s="30"/>
      <c r="E168" s="30" t="s">
        <v>377</v>
      </c>
    </row>
    <row r="169" spans="1:5">
      <c r="A169" s="24" t="s">
        <v>495</v>
      </c>
      <c r="B169" s="58" t="s">
        <v>496</v>
      </c>
      <c r="C169" s="54">
        <v>8070</v>
      </c>
      <c r="D169" s="30"/>
      <c r="E169" s="30" t="s">
        <v>377</v>
      </c>
    </row>
    <row r="170" spans="1:5">
      <c r="A170" s="24" t="s">
        <v>497</v>
      </c>
      <c r="B170" s="58" t="s">
        <v>498</v>
      </c>
      <c r="C170" s="54">
        <v>8072</v>
      </c>
      <c r="D170" s="30"/>
      <c r="E170" s="30" t="s">
        <v>377</v>
      </c>
    </row>
    <row r="171" spans="1:5">
      <c r="A171" s="24" t="s">
        <v>499</v>
      </c>
      <c r="B171" s="75"/>
      <c r="C171" s="55"/>
      <c r="D171" s="30"/>
      <c r="E171" s="30" t="s">
        <v>79</v>
      </c>
    </row>
    <row r="172" spans="1:5">
      <c r="A172" s="24" t="s">
        <v>500</v>
      </c>
      <c r="B172" s="75"/>
      <c r="C172" s="55"/>
      <c r="D172" s="30"/>
      <c r="E172" s="30" t="s">
        <v>79</v>
      </c>
    </row>
    <row r="173" spans="1:5">
      <c r="A173" s="24" t="s">
        <v>501</v>
      </c>
      <c r="B173" s="81" t="s">
        <v>502</v>
      </c>
      <c r="C173" s="55"/>
      <c r="D173" s="30"/>
      <c r="E173" s="30" t="s">
        <v>410</v>
      </c>
    </row>
    <row r="174" spans="1:5">
      <c r="A174" s="24" t="s">
        <v>503</v>
      </c>
      <c r="B174" s="81"/>
      <c r="C174" s="55"/>
      <c r="D174" s="30"/>
      <c r="E174" s="30" t="s">
        <v>504</v>
      </c>
    </row>
    <row r="175" spans="1:5">
      <c r="A175" s="24" t="s">
        <v>505</v>
      </c>
      <c r="B175" s="81"/>
      <c r="C175" s="55"/>
      <c r="D175" s="30"/>
      <c r="E175" s="30" t="s">
        <v>504</v>
      </c>
    </row>
    <row r="176" spans="1:5">
      <c r="A176" s="24" t="s">
        <v>506</v>
      </c>
      <c r="B176" s="81"/>
      <c r="C176" s="55"/>
      <c r="D176" s="30"/>
      <c r="E176" s="30" t="s">
        <v>504</v>
      </c>
    </row>
    <row r="177" spans="1:5">
      <c r="A177" s="24" t="s">
        <v>507</v>
      </c>
      <c r="B177" s="81"/>
      <c r="C177" s="55"/>
      <c r="D177" s="30"/>
      <c r="E177" s="30" t="s">
        <v>504</v>
      </c>
    </row>
    <row r="178" spans="1:5">
      <c r="A178" s="24" t="s">
        <v>508</v>
      </c>
      <c r="B178" s="81"/>
      <c r="C178" s="55"/>
      <c r="D178" s="30"/>
      <c r="E178" s="30" t="s">
        <v>504</v>
      </c>
    </row>
    <row r="179" spans="1:5">
      <c r="A179" s="24" t="s">
        <v>509</v>
      </c>
      <c r="B179" s="81"/>
      <c r="C179" s="55"/>
      <c r="D179" s="30"/>
      <c r="E179" s="30" t="s">
        <v>504</v>
      </c>
    </row>
    <row r="180" spans="1:5">
      <c r="A180" s="24" t="s">
        <v>510</v>
      </c>
      <c r="B180" s="81"/>
      <c r="C180" s="55"/>
      <c r="D180" s="30"/>
      <c r="E180" s="30" t="s">
        <v>504</v>
      </c>
    </row>
    <row r="181" spans="1:5">
      <c r="A181" s="24" t="s">
        <v>511</v>
      </c>
      <c r="B181" s="75"/>
      <c r="C181" s="55"/>
      <c r="D181" s="30"/>
      <c r="E181" s="30" t="s">
        <v>504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Sheet3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2026-06-29T05:23:42Z</dcterms:created>
  <dcterms:modified xsi:type="dcterms:W3CDTF">2026-06-29T08:19:38Z</dcterms:modified>
</cp:coreProperties>
</file>