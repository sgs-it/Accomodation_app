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Staff_app\"/>
    </mc:Choice>
  </mc:AlternateContent>
  <bookViews>
    <workbookView xWindow="0" yWindow="0" windowWidth="23040" windowHeight="9270" tabRatio="777" activeTab="3"/>
  </bookViews>
  <sheets>
    <sheet name="Summary" sheetId="1" r:id="rId1"/>
    <sheet name="Leave" sheetId="2" r:id="rId2"/>
    <sheet name="R.Shift" sheetId="3" r:id="rId3"/>
    <sheet name="Room 1-Al 06" sheetId="4" r:id="rId4"/>
    <sheet name="Room 2-Al 07" sheetId="5" r:id="rId5"/>
    <sheet name="Room 3-Al-08" sheetId="6" r:id="rId6"/>
    <sheet name="Room 4-Al 12" sheetId="7" r:id="rId7"/>
    <sheet name="Room 5-Al 17" sheetId="8" r:id="rId8"/>
    <sheet name="Room 6 -S 105" sheetId="9" r:id="rId9"/>
    <sheet name="Room 7 -S 106" sheetId="10" r:id="rId10"/>
    <sheet name="Room 8-S 107" sheetId="11" r:id="rId11"/>
    <sheet name="Room 9 -J 230" sheetId="12" r:id="rId12"/>
    <sheet name="Room 10-J 237" sheetId="13" r:id="rId13"/>
    <sheet name="Room 11-J 242" sheetId="14" r:id="rId14"/>
    <sheet name="Room 12-S 108" sheetId="15" r:id="rId15"/>
    <sheet name="Room 13-S 109" sheetId="16" r:id="rId16"/>
    <sheet name="Room 14-S 72" sheetId="17" r:id="rId17"/>
    <sheet name="Room 15-S-73" sheetId="18" r:id="rId18"/>
    <sheet name="Room 16-S 24" sheetId="19" r:id="rId19"/>
    <sheet name="Room 17-S 25" sheetId="20" r:id="rId20"/>
    <sheet name="Room 18-S 26" sheetId="21" r:id="rId21"/>
    <sheet name="Room 19-S 27" sheetId="22" r:id="rId22"/>
    <sheet name="Room 20-S 33" sheetId="23" r:id="rId23"/>
    <sheet name="Room 21-Al gf 05" sheetId="24" r:id="rId24"/>
    <sheet name="Room 22-Al gf-06" sheetId="25" r:id="rId25"/>
    <sheet name="Room 23-J 134" sheetId="26" r:id="rId26"/>
    <sheet name="Room 24-AD Musaff-A12" sheetId="27" r:id="rId27"/>
    <sheet name="Room 25-S 79" sheetId="28" r:id="rId28"/>
    <sheet name="Room 26-S 80" sheetId="29" r:id="rId29"/>
    <sheet name="Room 27-J 306" sheetId="30" r:id="rId30"/>
    <sheet name="Room 28-Aj 01" sheetId="31" r:id="rId31"/>
    <sheet name="Room 29-Aj 02" sheetId="32" r:id="rId32"/>
    <sheet name="Room 30-Aj 03" sheetId="33" r:id="rId33"/>
    <sheet name="Sheet1" sheetId="35" r:id="rId34"/>
  </sheets>
  <definedNames>
    <definedName name="_xlnm._FilterDatabase" localSheetId="0" hidden="1">Summary!$A$1:$J$34</definedName>
  </definedNames>
  <calcPr calcId="152511"/>
</workbook>
</file>

<file path=xl/calcChain.xml><?xml version="1.0" encoding="utf-8"?>
<calcChain xmlns="http://schemas.openxmlformats.org/spreadsheetml/2006/main">
  <c r="H30" i="1" l="1"/>
  <c r="H29" i="1"/>
  <c r="B13" i="32"/>
  <c r="H27" i="1" l="1"/>
  <c r="H26" i="1"/>
  <c r="H19" i="1"/>
  <c r="H13" i="1"/>
  <c r="E19" i="2" l="1"/>
  <c r="D19" i="2"/>
  <c r="C19" i="2"/>
  <c r="A19" i="2"/>
  <c r="B12" i="31"/>
  <c r="B12" i="33" l="1"/>
  <c r="H31" i="1" s="1"/>
  <c r="I31" i="1" s="1"/>
  <c r="B11" i="30"/>
  <c r="H28" i="1" s="1"/>
  <c r="I28" i="1" s="1"/>
  <c r="B7" i="29"/>
  <c r="B7" i="28"/>
  <c r="B13" i="27"/>
  <c r="H25" i="1" s="1"/>
  <c r="I25" i="1" s="1"/>
  <c r="B13" i="26"/>
  <c r="H24" i="1" s="1"/>
  <c r="I24" i="1" s="1"/>
  <c r="B10" i="25"/>
  <c r="H23" i="1" s="1"/>
  <c r="I23" i="1" s="1"/>
  <c r="B10" i="24"/>
  <c r="H22" i="1" s="1"/>
  <c r="I22" i="1" s="1"/>
  <c r="B7" i="23"/>
  <c r="H21" i="1" s="1"/>
  <c r="I21" i="1" s="1"/>
  <c r="B7" i="22"/>
  <c r="H20" i="1" s="1"/>
  <c r="I20" i="1" s="1"/>
  <c r="B7" i="21"/>
  <c r="B7" i="20"/>
  <c r="H18" i="1" s="1"/>
  <c r="I18" i="1" s="1"/>
  <c r="B7" i="19"/>
  <c r="H17" i="1" s="1"/>
  <c r="I17" i="1" s="1"/>
  <c r="B7" i="18"/>
  <c r="H16" i="1" s="1"/>
  <c r="I16" i="1" s="1"/>
  <c r="B7" i="17"/>
  <c r="H15" i="1" s="1"/>
  <c r="I15" i="1" s="1"/>
  <c r="B7" i="16"/>
  <c r="H14" i="1" s="1"/>
  <c r="I14" i="1" s="1"/>
  <c r="B7" i="15"/>
  <c r="B13" i="14"/>
  <c r="H12" i="1" s="1"/>
  <c r="I12" i="1" s="1"/>
  <c r="B13" i="13"/>
  <c r="H11" i="1" s="1"/>
  <c r="I11" i="1" s="1"/>
  <c r="B13" i="12"/>
  <c r="H10" i="1" s="1"/>
  <c r="I10" i="1" s="1"/>
  <c r="B7" i="11"/>
  <c r="H9" i="1" s="1"/>
  <c r="I9" i="1" s="1"/>
  <c r="B7" i="10"/>
  <c r="H8" i="1" s="1"/>
  <c r="I8" i="1" s="1"/>
  <c r="B7" i="9"/>
  <c r="H7" i="1" s="1"/>
  <c r="I7" i="1" s="1"/>
  <c r="B10" i="8"/>
  <c r="H6" i="1" s="1"/>
  <c r="I6" i="1" s="1"/>
  <c r="B10" i="7"/>
  <c r="H5" i="1" s="1"/>
  <c r="I5" i="1" s="1"/>
  <c r="B10" i="6"/>
  <c r="H4" i="1" s="1"/>
  <c r="I4" i="1" s="1"/>
  <c r="B11" i="5"/>
  <c r="H3" i="1" s="1"/>
  <c r="I3" i="1" s="1"/>
  <c r="B10" i="4"/>
  <c r="H2" i="1" s="1"/>
  <c r="H33" i="1"/>
  <c r="I33" i="1" s="1"/>
  <c r="H32" i="1"/>
  <c r="I32" i="1" s="1"/>
  <c r="I38" i="1"/>
  <c r="G36" i="1"/>
  <c r="C36" i="1"/>
  <c r="H34" i="1"/>
  <c r="I34" i="1" s="1"/>
  <c r="I30" i="1"/>
  <c r="I29" i="1"/>
  <c r="I27" i="1"/>
  <c r="I26" i="1"/>
  <c r="I19" i="1"/>
  <c r="I13" i="1"/>
  <c r="H36" i="1" l="1"/>
  <c r="I2" i="1"/>
  <c r="I36" i="1" s="1"/>
</calcChain>
</file>

<file path=xl/comments1.xml><?xml version="1.0" encoding="utf-8"?>
<comments xmlns="http://schemas.openxmlformats.org/spreadsheetml/2006/main">
  <authors>
    <author>IPBPO04</author>
  </authors>
  <commentList>
    <comment ref="C15" authorId="0" shapeId="0">
      <text>
        <r>
          <rPr>
            <b/>
            <sz val="9"/>
            <color indexed="81"/>
            <rFont val="Tahoma"/>
            <family val="2"/>
          </rPr>
          <t>IPBPO04:</t>
        </r>
        <r>
          <rPr>
            <sz val="9"/>
            <color indexed="81"/>
            <rFont val="Tahoma"/>
            <family val="2"/>
          </rPr>
          <t xml:space="preserve">
ARSHAD'S STAFF REPORT-THIS ROOM NO IS G78</t>
        </r>
      </text>
    </comment>
    <comment ref="C27" authorId="0" shapeId="0">
      <text>
        <r>
          <rPr>
            <b/>
            <sz val="9"/>
            <color indexed="81"/>
            <rFont val="Tahoma"/>
            <family val="2"/>
          </rPr>
          <t>IPBPO04:</t>
        </r>
        <r>
          <rPr>
            <sz val="9"/>
            <color indexed="81"/>
            <rFont val="Tahoma"/>
            <family val="2"/>
          </rPr>
          <t xml:space="preserve">
ARSHAD'S STAFF REPORT-THIS ROOM NO IS S78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B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REJOINING ON 25-05-2026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B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REJOINED ON 25-2-26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B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Rejoining after Annual leave on 14-05-2026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B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Joining on 13-05-2026</t>
        </r>
      </text>
    </comment>
    <comment ref="B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Joining on 13-05-2026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B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New joining on 11-03-2026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B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ANNUAL LEAVE ON 16-2-26</t>
        </r>
      </text>
    </comment>
  </commentList>
</comments>
</file>

<file path=xl/sharedStrings.xml><?xml version="1.0" encoding="utf-8"?>
<sst xmlns="http://schemas.openxmlformats.org/spreadsheetml/2006/main" count="1100" uniqueCount="578">
  <si>
    <t>Room 
ID</t>
  </si>
  <si>
    <t xml:space="preserve"> </t>
  </si>
  <si>
    <t>Room 
No</t>
  </si>
  <si>
    <t>Emirate</t>
  </si>
  <si>
    <t>Expiry</t>
  </si>
  <si>
    <t>Contract 
Status</t>
  </si>
  <si>
    <t>Capacity</t>
  </si>
  <si>
    <t>Occupied</t>
  </si>
  <si>
    <t>Available</t>
  </si>
  <si>
    <t>Al Quoz</t>
  </si>
  <si>
    <t>Dubai</t>
  </si>
  <si>
    <t>Sonapur</t>
  </si>
  <si>
    <t>Jebel Ali</t>
  </si>
  <si>
    <t>GF-5</t>
  </si>
  <si>
    <t>GF-6</t>
  </si>
  <si>
    <t>Musaffah</t>
  </si>
  <si>
    <t>A12</t>
  </si>
  <si>
    <t>Abu Dhabi</t>
  </si>
  <si>
    <t xml:space="preserve">Ajbaan </t>
  </si>
  <si>
    <t>STAFF ON LEAVE</t>
  </si>
  <si>
    <t>Staff on Leave</t>
  </si>
  <si>
    <t>AlQuoz</t>
  </si>
  <si>
    <t>Naveen Alakunta - IP (G2B) 1294</t>
  </si>
  <si>
    <t>Sarbjit Singh - (G1C) 1308</t>
  </si>
  <si>
    <t>Sl No</t>
  </si>
  <si>
    <t>Date</t>
  </si>
  <si>
    <t>Staff Name</t>
  </si>
  <si>
    <t xml:space="preserve">Location </t>
  </si>
  <si>
    <t xml:space="preserve">Changed From </t>
  </si>
  <si>
    <t>Room No</t>
  </si>
  <si>
    <t xml:space="preserve">Changed to </t>
  </si>
  <si>
    <t xml:space="preserve">Room no </t>
  </si>
  <si>
    <t>Summary</t>
  </si>
  <si>
    <t>Bed ID</t>
  </si>
  <si>
    <t>Occupant Name</t>
  </si>
  <si>
    <t>Occupant ID</t>
  </si>
  <si>
    <t>Location</t>
  </si>
  <si>
    <t>Status</t>
  </si>
  <si>
    <t>AQZ-006-BD1-LB</t>
  </si>
  <si>
    <t>FULL</t>
  </si>
  <si>
    <t>JBL-237-BD4-UB</t>
  </si>
  <si>
    <t>AQZ-006-BD3-LB</t>
  </si>
  <si>
    <t>AQZ-006-BD2-LB</t>
  </si>
  <si>
    <t>AQZ-006-BD3-UB</t>
  </si>
  <si>
    <t>JBL-237-BD2-UB</t>
  </si>
  <si>
    <t>LOCATION</t>
  </si>
  <si>
    <t>AQZ-007-BD2-LB</t>
  </si>
  <si>
    <t>floor</t>
  </si>
  <si>
    <t>AQZ-007-BD2-UB</t>
  </si>
  <si>
    <t>Akbar Singh</t>
  </si>
  <si>
    <t>AQZ-008-BD1-LB</t>
  </si>
  <si>
    <t>Vacation</t>
  </si>
  <si>
    <t>AQZ-008-BD1-UB</t>
  </si>
  <si>
    <t>AQZ-008-BD2-UB</t>
  </si>
  <si>
    <t>AQZ-008-BD2-LB</t>
  </si>
  <si>
    <t>AQZ-008-BD3-UB</t>
  </si>
  <si>
    <t>AQZ-008-BD3-LB</t>
  </si>
  <si>
    <t>AQZ-012-BD1-LB</t>
  </si>
  <si>
    <t>AQZ-012-BD1-UB</t>
  </si>
  <si>
    <t>AQZ-012-BD3-LB</t>
  </si>
  <si>
    <t>AQZ-012-BD4-LB</t>
  </si>
  <si>
    <t>AQZ-012-BD2-LB</t>
  </si>
  <si>
    <t>Forkan Miah</t>
  </si>
  <si>
    <t>AQZ-012-BD2-UB</t>
  </si>
  <si>
    <t>LOCATION.</t>
  </si>
  <si>
    <t>SHAKIR</t>
  </si>
  <si>
    <t>SNP-105-B2-LB</t>
  </si>
  <si>
    <t>Arshad Khan</t>
  </si>
  <si>
    <t>SNP-105-B1-LB</t>
  </si>
  <si>
    <t>SNP-1065-B2-UB</t>
  </si>
  <si>
    <t>CLETUS</t>
  </si>
  <si>
    <t>SNP-106-BD2-UB</t>
  </si>
  <si>
    <t>Shanto Miah</t>
  </si>
  <si>
    <t>SNP-106-BD2-LB</t>
  </si>
  <si>
    <t>SNP-106-BD1-LB</t>
  </si>
  <si>
    <t>SNP-106-BD1-UB</t>
  </si>
  <si>
    <t>SNP-107-BD1-LB</t>
  </si>
  <si>
    <t>Hasan Nawaz</t>
  </si>
  <si>
    <t>SNP-107-BD2-LB</t>
  </si>
  <si>
    <t>Mohammad Bilal</t>
  </si>
  <si>
    <t>SNP-107-BD1-UB</t>
  </si>
  <si>
    <t>SNP-107-BD2-UB</t>
  </si>
  <si>
    <t>JBL-230-BED5-LB</t>
  </si>
  <si>
    <t>JBL-230-BD3-LB</t>
  </si>
  <si>
    <t>JBL-230-BD4-UB</t>
  </si>
  <si>
    <t>JBL-230-BD1-LB</t>
  </si>
  <si>
    <t>JBL-230-BD2-LB</t>
  </si>
  <si>
    <t>JBL-230-BD4-LB</t>
  </si>
  <si>
    <t xml:space="preserve">Occupied </t>
  </si>
  <si>
    <t>Falak</t>
  </si>
  <si>
    <t>JBL-237-BD4-LB</t>
  </si>
  <si>
    <t>Rajab Hussain</t>
  </si>
  <si>
    <t>JBL-242-BD4-LB</t>
  </si>
  <si>
    <t>JBL-242-BD5-LB</t>
  </si>
  <si>
    <t>LS-6082</t>
  </si>
  <si>
    <t>JBL-242-BD3-LB</t>
  </si>
  <si>
    <t>JBL-242-BD2-LB</t>
  </si>
  <si>
    <t>JBL-242-BD5-UB</t>
  </si>
  <si>
    <t>Sajan</t>
  </si>
  <si>
    <t>JBL-242-BD2-UB</t>
  </si>
  <si>
    <t>JBL-242-BD1-LB</t>
  </si>
  <si>
    <t>Roland Ashaba</t>
  </si>
  <si>
    <t>JBL-242-BD4-UB</t>
  </si>
  <si>
    <t>David Kalema</t>
  </si>
  <si>
    <t>SNP-108-BD2-LB</t>
  </si>
  <si>
    <t>SNP-108-BD1-UB</t>
  </si>
  <si>
    <t>SNP-108-BD2-UB</t>
  </si>
  <si>
    <t>SNP-108-BD1-LB</t>
  </si>
  <si>
    <t>SNP-109-BD1-LB</t>
  </si>
  <si>
    <t>LS (G3C) 6063</t>
  </si>
  <si>
    <t>SNP-109-BD2-LB</t>
  </si>
  <si>
    <t>LS (G3C) 6010</t>
  </si>
  <si>
    <t>SNP-G072-BD1-LB</t>
  </si>
  <si>
    <t>SNP-G072-BD1-UB</t>
  </si>
  <si>
    <t>Abdul Kala</t>
  </si>
  <si>
    <t>SNP-G072-BD2-LB</t>
  </si>
  <si>
    <t>Simranjeet</t>
  </si>
  <si>
    <t>SNP-G073-BD2-LB</t>
  </si>
  <si>
    <t>Ishak Ssebugenyi</t>
  </si>
  <si>
    <t>SNP-G073-BD1-LB</t>
  </si>
  <si>
    <t>Jatin singh</t>
  </si>
  <si>
    <t>SNP-G073-BD1-UB</t>
  </si>
  <si>
    <t>SNP-G073-BD2-UB</t>
  </si>
  <si>
    <t>Khamis Sobhy(LS)</t>
  </si>
  <si>
    <t>LS (G3C) 6049</t>
  </si>
  <si>
    <t>SNP-G024-BD1-LB</t>
  </si>
  <si>
    <t>Abdul sawabul</t>
  </si>
  <si>
    <t>SNP-G024-BD2-LB</t>
  </si>
  <si>
    <t>SNP-G024-BD1-UB</t>
  </si>
  <si>
    <t>Bala krishna</t>
  </si>
  <si>
    <t>SNP-G025-BD2-LB</t>
  </si>
  <si>
    <t>SNP-G025-BD1-UB</t>
  </si>
  <si>
    <t>Abdullah</t>
  </si>
  <si>
    <t>SNP-G025-BD1-LB</t>
  </si>
  <si>
    <t>SNP-G025-BD2-UB</t>
  </si>
  <si>
    <t>Desta Hussen</t>
  </si>
  <si>
    <t>SNP-G26-BD2-LB</t>
  </si>
  <si>
    <t>SNP-G26-BD1-LB</t>
  </si>
  <si>
    <t>SNP-G26-BD1-UB</t>
  </si>
  <si>
    <t>SNP-G27-BD1-UB</t>
  </si>
  <si>
    <t>SNP-G27-BD2-UB</t>
  </si>
  <si>
    <t>SNP-G27-BD1-LB</t>
  </si>
  <si>
    <t>SNP-G27-BD2-LB</t>
  </si>
  <si>
    <t>SNP-G33-BD1-UB</t>
  </si>
  <si>
    <t>SNP-G33-BD2-LB</t>
  </si>
  <si>
    <t>SNP-G33-BD1-LB</t>
  </si>
  <si>
    <t>SNP-G33-BD2-UB</t>
  </si>
  <si>
    <t>AQZ-0GF5-BD1-LB</t>
  </si>
  <si>
    <t>AQZ-0GF5-BD2-LB</t>
  </si>
  <si>
    <t>AQZ-0GF5-BD2-UB</t>
  </si>
  <si>
    <t>Muhammad Naveed</t>
  </si>
  <si>
    <t>AQZ-0GF5-BD3-LB</t>
  </si>
  <si>
    <t>AQZ-0GF5-BD3-UB</t>
  </si>
  <si>
    <t>JBL-237-BD3-UB</t>
  </si>
  <si>
    <t>Fazal Amin</t>
  </si>
  <si>
    <t>JBL-134-BD1-LB</t>
  </si>
  <si>
    <t>Full</t>
  </si>
  <si>
    <t>JBL-230-BD2-UB</t>
  </si>
  <si>
    <t>Anees Khan</t>
  </si>
  <si>
    <t>JBL-134-BD4-LB</t>
  </si>
  <si>
    <t>Sareer Khalil</t>
  </si>
  <si>
    <t>JBL-242-BD3-UB</t>
  </si>
  <si>
    <t>Umair Khan</t>
  </si>
  <si>
    <t>JBL-134-BD2-LB</t>
  </si>
  <si>
    <t>JBL-134-BD5-UB</t>
  </si>
  <si>
    <t>JBL-134-BD3-LB</t>
  </si>
  <si>
    <t>JBL-134-BD3-UB</t>
  </si>
  <si>
    <t>full</t>
  </si>
  <si>
    <t>AUH-A12-BD1-LB</t>
  </si>
  <si>
    <t>AUH-A12-BD2-LB</t>
  </si>
  <si>
    <t>AUH-A12-BD3-LB</t>
  </si>
  <si>
    <t>AUH-A12-BD2-UB</t>
  </si>
  <si>
    <t>Muhammad Zahid</t>
  </si>
  <si>
    <t>Anwar Zaman</t>
  </si>
  <si>
    <t>Hamid Ali</t>
  </si>
  <si>
    <t>Narsaiah</t>
  </si>
  <si>
    <t>JBL-306-BD2-LB</t>
  </si>
  <si>
    <t>Zain Ullah</t>
  </si>
  <si>
    <t>Ashif Salim</t>
  </si>
  <si>
    <t>JBL-306-BD2-UP</t>
  </si>
  <si>
    <t>Danish Ali</t>
  </si>
  <si>
    <t>Wasee Ullah</t>
  </si>
  <si>
    <t>Salim</t>
  </si>
  <si>
    <t>Hamid &amp; Dawood</t>
  </si>
  <si>
    <t>Shahzad</t>
  </si>
  <si>
    <t>Arshad</t>
  </si>
  <si>
    <t>Managed by</t>
  </si>
  <si>
    <t xml:space="preserve">Room No.6 </t>
  </si>
  <si>
    <t>Hameed / Dawood</t>
  </si>
  <si>
    <t>ROOM NO:105</t>
  </si>
  <si>
    <t>ROOM NO:106</t>
  </si>
  <si>
    <t>ROOM NO:107</t>
  </si>
  <si>
    <t>ROOM NO:108</t>
  </si>
  <si>
    <t>ROOM NO:109</t>
  </si>
  <si>
    <t>ROOM NO:72</t>
  </si>
  <si>
    <t>ROOM NO:73</t>
  </si>
  <si>
    <t>ROOM NO:24</t>
  </si>
  <si>
    <t>ROOM NO:25</t>
  </si>
  <si>
    <t>ROOM NO:26</t>
  </si>
  <si>
    <t>ROOM NO:27</t>
  </si>
  <si>
    <t>ROOM NO:33</t>
  </si>
  <si>
    <t>ROOM NO:79</t>
  </si>
  <si>
    <t>ROOM NO:80</t>
  </si>
  <si>
    <t>China Srinu Kukkala</t>
  </si>
  <si>
    <t xml:space="preserve">Chala Awel Kasim </t>
  </si>
  <si>
    <t xml:space="preserve">Ali Faisal </t>
  </si>
  <si>
    <t xml:space="preserve">Rajnish </t>
  </si>
  <si>
    <t xml:space="preserve">Feleke Teshome Diriba </t>
  </si>
  <si>
    <t xml:space="preserve">Temesgen Getachew Negese </t>
  </si>
  <si>
    <t xml:space="preserve">Habtemariam Getu Ewawi </t>
  </si>
  <si>
    <t>Hamzakhan ikram</t>
  </si>
  <si>
    <t>Hazrath Jan</t>
  </si>
  <si>
    <t xml:space="preserve">Pramod Vellakuzhy Subramannian </t>
  </si>
  <si>
    <t xml:space="preserve">Asif Nawaz </t>
  </si>
  <si>
    <t>Nazim</t>
  </si>
  <si>
    <t>Iqbal Singh</t>
  </si>
  <si>
    <t>IP-1316</t>
  </si>
  <si>
    <t>Hulala Fedilu Nuri</t>
  </si>
  <si>
    <t>IP-8071</t>
  </si>
  <si>
    <t>Muhammad Sajjad Fazal Rehman</t>
  </si>
  <si>
    <t>Zubair  Khan</t>
  </si>
  <si>
    <t>Usman Khan</t>
  </si>
  <si>
    <t>LS 6072</t>
  </si>
  <si>
    <t xml:space="preserve">Kedir Gena Sure </t>
  </si>
  <si>
    <t>Rebiyu Aboli</t>
  </si>
  <si>
    <t xml:space="preserve">Lalisa Bekuma Likasa </t>
  </si>
  <si>
    <t>LS 6081</t>
  </si>
  <si>
    <t>Muzayan Aliyi</t>
  </si>
  <si>
    <t>AbdulHakim Mohammed Argo</t>
  </si>
  <si>
    <t xml:space="preserve">Prdeep </t>
  </si>
  <si>
    <t>Devendar Singh</t>
  </si>
  <si>
    <t>Parvinder Gurtej Singh</t>
  </si>
  <si>
    <t>Ahmed Wermengo Admama</t>
  </si>
  <si>
    <t xml:space="preserve"> Shah  Faisal</t>
  </si>
  <si>
    <t>Afra Sayab Khan</t>
  </si>
  <si>
    <t>Mohammad Jaseem</t>
  </si>
  <si>
    <t>Nazmul Shazaha</t>
  </si>
  <si>
    <t>Mintu</t>
  </si>
  <si>
    <t>Rajesh Namala</t>
  </si>
  <si>
    <t>Suresh Badugu</t>
  </si>
  <si>
    <t>Shiva Kumar</t>
  </si>
  <si>
    <t>Sravan Kumar</t>
  </si>
  <si>
    <t>Sadeeq Akbar</t>
  </si>
  <si>
    <t>Adil khan</t>
  </si>
  <si>
    <t>Room no:GF 6</t>
  </si>
  <si>
    <t>Room no:GF 5</t>
  </si>
  <si>
    <t xml:space="preserve">Daud Shah </t>
  </si>
  <si>
    <t>muhammad Lukman</t>
  </si>
  <si>
    <t>Syed Adil Hussain Sha Maqbool Hussain Sha</t>
  </si>
  <si>
    <t>Hameed Ullah Abdul Ghani</t>
  </si>
  <si>
    <t>Ajmal khan</t>
  </si>
  <si>
    <t>Room no:17</t>
  </si>
  <si>
    <t>Aminul Shahali Sarkar</t>
  </si>
  <si>
    <t>Sabbir Hossain</t>
  </si>
  <si>
    <t>Shailesh Barman</t>
  </si>
  <si>
    <t>Chand Babu</t>
  </si>
  <si>
    <t xml:space="preserve">Yuna Abdulkadir Yusuf </t>
  </si>
  <si>
    <t>Sabbir Hossain 1195</t>
  </si>
  <si>
    <t>Room no:12</t>
  </si>
  <si>
    <t>Mohammad Anis</t>
  </si>
  <si>
    <t>Babu lal</t>
  </si>
  <si>
    <t>Narottam Singh</t>
  </si>
  <si>
    <t>Navanith Varma</t>
  </si>
  <si>
    <t>Mithlesh Kumar</t>
  </si>
  <si>
    <t xml:space="preserve">Govind Kumar </t>
  </si>
  <si>
    <t>Room no:08</t>
  </si>
  <si>
    <t>Tola Chala</t>
  </si>
  <si>
    <t>Shahjan</t>
  </si>
  <si>
    <t>Aliyi Genole Tola</t>
  </si>
  <si>
    <t>Jifara Kenesa</t>
  </si>
  <si>
    <t>LS 6084</t>
  </si>
  <si>
    <t>Room no:07</t>
  </si>
  <si>
    <t>Abid Ali</t>
  </si>
  <si>
    <t>Arshad Mehmood</t>
  </si>
  <si>
    <t>Hamsakaramath</t>
  </si>
  <si>
    <t>Umar Faroq</t>
  </si>
  <si>
    <t xml:space="preserve">Shankar Kumar </t>
  </si>
  <si>
    <t>Huzaifa Mehmood</t>
  </si>
  <si>
    <t>LS 6079</t>
  </si>
  <si>
    <t>Abdane Bunde</t>
  </si>
  <si>
    <t>Muhammad Shahid</t>
  </si>
  <si>
    <t>Nanda Kishore Battu</t>
  </si>
  <si>
    <t>Aliyi Shibire</t>
  </si>
  <si>
    <t>Bedaso Jiru Geja</t>
  </si>
  <si>
    <t>LS 6080</t>
  </si>
  <si>
    <t>ROOM NO:230</t>
  </si>
  <si>
    <t>Muhammad Umer</t>
  </si>
  <si>
    <t xml:space="preserve">Shakil Ahmed </t>
  </si>
  <si>
    <t>Mubarek Mohammed</t>
  </si>
  <si>
    <t>Gurvinder Singh</t>
  </si>
  <si>
    <t>Gurvinder Singh Sarbajith</t>
  </si>
  <si>
    <t>Nazir Hakim Said</t>
  </si>
  <si>
    <t xml:space="preserve">Anzar Ali </t>
  </si>
  <si>
    <t>LS-6038</t>
  </si>
  <si>
    <t>Falak Shair</t>
  </si>
  <si>
    <t>Muhammad Ibrahim</t>
  </si>
  <si>
    <t xml:space="preserve">Kashif Hussain Shah </t>
  </si>
  <si>
    <t>Rafaqat Hussain Shah</t>
  </si>
  <si>
    <t>Bashir Ahmad Koro</t>
  </si>
  <si>
    <t>ROOM NO:242</t>
  </si>
  <si>
    <t>ROOM NO:237</t>
  </si>
  <si>
    <t>Ganesh Oli</t>
  </si>
  <si>
    <t>Jakkir Hussain</t>
  </si>
  <si>
    <t>Rajendar Banavath</t>
  </si>
  <si>
    <t>Ganghadar</t>
  </si>
  <si>
    <t>Maruthi Surya Vamshi</t>
  </si>
  <si>
    <t>Dilip Gond</t>
  </si>
  <si>
    <t>Abdullatif Husen Gemechu</t>
  </si>
  <si>
    <t>ROOM NO:134</t>
  </si>
  <si>
    <t>Muktar Hasen</t>
  </si>
  <si>
    <t>Yabo Wake</t>
  </si>
  <si>
    <t>Tsehaynew Dejen Kassa</t>
  </si>
  <si>
    <t xml:space="preserve">Sherif Nesru </t>
  </si>
  <si>
    <t>Nuruddin Umer</t>
  </si>
  <si>
    <t>LS -6083</t>
  </si>
  <si>
    <t>ROOM NO:306</t>
  </si>
  <si>
    <t>Muhammad Basharat</t>
  </si>
  <si>
    <t xml:space="preserve">Yar Jan </t>
  </si>
  <si>
    <t xml:space="preserve">Mazad Baloch </t>
  </si>
  <si>
    <t>Mohammad Samir</t>
  </si>
  <si>
    <t>ROOM NO:Farm 01</t>
  </si>
  <si>
    <t>Alkadir Muhammad</t>
  </si>
  <si>
    <t>Musa Bunki</t>
  </si>
  <si>
    <t>Negeso Gemeda</t>
  </si>
  <si>
    <t>Noor Shah</t>
  </si>
  <si>
    <t>Gul fam</t>
  </si>
  <si>
    <t xml:space="preserve">Ameer Hamza </t>
  </si>
  <si>
    <t>Ali Muhammad Khan</t>
  </si>
  <si>
    <t xml:space="preserve">Kasahun Tesema </t>
  </si>
  <si>
    <t>Usman Ali</t>
  </si>
  <si>
    <t>LS 6073</t>
  </si>
  <si>
    <t>LS 6076</t>
  </si>
  <si>
    <t>LS 6077</t>
  </si>
  <si>
    <t>ROOM NO:Farm 02</t>
  </si>
  <si>
    <t xml:space="preserve">Abdi Aman Sheru </t>
  </si>
  <si>
    <t>Dinesh Kumar</t>
  </si>
  <si>
    <t xml:space="preserve">Rais Ahmad </t>
  </si>
  <si>
    <t>Abdi Shimels Bekele</t>
  </si>
  <si>
    <t>Fikadu Taye Demse</t>
  </si>
  <si>
    <t>Abdulbasit Abazinab Abafogi</t>
  </si>
  <si>
    <t>Halefom Berhe Kidanemariam</t>
  </si>
  <si>
    <t>Sebsib Ababiya Kedir</t>
  </si>
  <si>
    <t>LS 6098</t>
  </si>
  <si>
    <t>Bismillah Jan - IP (G2C) 1208</t>
  </si>
  <si>
    <t>Murli - IP (G2B) 1293</t>
  </si>
  <si>
    <t>Sabbir Hossain - IP (G2B) 1195</t>
  </si>
  <si>
    <t>Najib Ndugwa - IP (G1C) 1357</t>
  </si>
  <si>
    <t>ROOM NO:A12</t>
  </si>
  <si>
    <t>Wahid Ullah</t>
  </si>
  <si>
    <t>Ekena Kenneth</t>
  </si>
  <si>
    <t>Waqas Ali</t>
  </si>
  <si>
    <t>Muhammad Shahzad(DRIVER)</t>
  </si>
  <si>
    <t>Imed Hussen</t>
  </si>
  <si>
    <t>Sohail Fazal Sanam</t>
  </si>
  <si>
    <t>Pass Nabi Khan</t>
  </si>
  <si>
    <t>LS 6011</t>
  </si>
  <si>
    <t>LS 6068</t>
  </si>
  <si>
    <t>Sandeep Singh Lakwinder 1306</t>
  </si>
  <si>
    <t>VACATION</t>
  </si>
  <si>
    <t>VACANT</t>
  </si>
  <si>
    <t>R1023-J-030</t>
  </si>
  <si>
    <t>Room id</t>
  </si>
  <si>
    <t>R1</t>
  </si>
  <si>
    <t>R2</t>
  </si>
  <si>
    <t>R3</t>
  </si>
  <si>
    <t>R4</t>
  </si>
  <si>
    <t>R5</t>
  </si>
  <si>
    <t>R1001-001</t>
  </si>
  <si>
    <t>R1001-002</t>
  </si>
  <si>
    <t>R1001-003</t>
  </si>
  <si>
    <t>R1001-004</t>
  </si>
  <si>
    <t>R1001-005</t>
  </si>
  <si>
    <t>R1001-006</t>
  </si>
  <si>
    <t>R1002-007</t>
  </si>
  <si>
    <t>R1002-008</t>
  </si>
  <si>
    <t>R1002-009</t>
  </si>
  <si>
    <t>R1002-010</t>
  </si>
  <si>
    <t>R1002-011</t>
  </si>
  <si>
    <t>R1002-012</t>
  </si>
  <si>
    <t>R1003-013</t>
  </si>
  <si>
    <t>R1003-014</t>
  </si>
  <si>
    <t>R1003-015</t>
  </si>
  <si>
    <t>R1003-016</t>
  </si>
  <si>
    <t>R1003-017</t>
  </si>
  <si>
    <t>R1003-018</t>
  </si>
  <si>
    <t>R1004-019</t>
  </si>
  <si>
    <t>R1004-020</t>
  </si>
  <si>
    <t>R1004-021</t>
  </si>
  <si>
    <t>R1004-022</t>
  </si>
  <si>
    <t>R1004-023</t>
  </si>
  <si>
    <t>R1004-024</t>
  </si>
  <si>
    <t>R1005-025</t>
  </si>
  <si>
    <t>R1005-026</t>
  </si>
  <si>
    <t>R1005-027</t>
  </si>
  <si>
    <t>R1005-028</t>
  </si>
  <si>
    <t>R1005-029</t>
  </si>
  <si>
    <t>R1005-030</t>
  </si>
  <si>
    <t>R2006-001</t>
  </si>
  <si>
    <t>R2006-002</t>
  </si>
  <si>
    <t>R2006-003</t>
  </si>
  <si>
    <t>R2006-004</t>
  </si>
  <si>
    <t>R2007-005</t>
  </si>
  <si>
    <t>R2007-006</t>
  </si>
  <si>
    <t>R2007-007</t>
  </si>
  <si>
    <t>R2007-008</t>
  </si>
  <si>
    <t>R2008-012</t>
  </si>
  <si>
    <t>R2008-009</t>
  </si>
  <si>
    <t>R2008-010</t>
  </si>
  <si>
    <t>R2008-011</t>
  </si>
  <si>
    <t>R3009-001</t>
  </si>
  <si>
    <t>R3009-002</t>
  </si>
  <si>
    <t>R3009-003</t>
  </si>
  <si>
    <t>R3009-004</t>
  </si>
  <si>
    <t>R3009-005</t>
  </si>
  <si>
    <t>R3009-006</t>
  </si>
  <si>
    <t>R3009-007</t>
  </si>
  <si>
    <t>R3009-008</t>
  </si>
  <si>
    <t>R3009-009</t>
  </si>
  <si>
    <t>R3010-010</t>
  </si>
  <si>
    <t>R3010-011</t>
  </si>
  <si>
    <t>R3010-012</t>
  </si>
  <si>
    <t>R3010-013</t>
  </si>
  <si>
    <t>R3010-014</t>
  </si>
  <si>
    <t>R3010-015</t>
  </si>
  <si>
    <t>R3010-016</t>
  </si>
  <si>
    <t>R3010-017</t>
  </si>
  <si>
    <t>R3010-018</t>
  </si>
  <si>
    <t>R3010-019</t>
  </si>
  <si>
    <t>R3011-029</t>
  </si>
  <si>
    <t>R3011-020</t>
  </si>
  <si>
    <t>R3011-021</t>
  </si>
  <si>
    <t>R3011-022</t>
  </si>
  <si>
    <t>R3011-023</t>
  </si>
  <si>
    <t>R3011-024</t>
  </si>
  <si>
    <t>R3011-025</t>
  </si>
  <si>
    <t>R3011-026</t>
  </si>
  <si>
    <t>R3011-027</t>
  </si>
  <si>
    <t>R3011-028</t>
  </si>
  <si>
    <t>R2012-013</t>
  </si>
  <si>
    <t>R2012-014</t>
  </si>
  <si>
    <t>R2012-015</t>
  </si>
  <si>
    <t>R2012-016</t>
  </si>
  <si>
    <t>R2013-020</t>
  </si>
  <si>
    <t>R2013-017</t>
  </si>
  <si>
    <t>R2013-018</t>
  </si>
  <si>
    <t>R2013-019</t>
  </si>
  <si>
    <t>R2014-021</t>
  </si>
  <si>
    <t>R2014-022</t>
  </si>
  <si>
    <t>R2014-023</t>
  </si>
  <si>
    <t>R2014-024</t>
  </si>
  <si>
    <t>R2015-025</t>
  </si>
  <si>
    <t>R2015-026</t>
  </si>
  <si>
    <t>R2015-027</t>
  </si>
  <si>
    <t>R2015-028</t>
  </si>
  <si>
    <t>R2016-029</t>
  </si>
  <si>
    <t>R2016-030</t>
  </si>
  <si>
    <t>R2016-031</t>
  </si>
  <si>
    <t>R2016-032</t>
  </si>
  <si>
    <t>R2017-033</t>
  </si>
  <si>
    <t>R2017-034</t>
  </si>
  <si>
    <t>R2017-035</t>
  </si>
  <si>
    <t>R2017-036</t>
  </si>
  <si>
    <t>R2018-037</t>
  </si>
  <si>
    <t>R2018-038</t>
  </si>
  <si>
    <t>R2018-039</t>
  </si>
  <si>
    <t>R2018-040</t>
  </si>
  <si>
    <t>R2019-041</t>
  </si>
  <si>
    <t>R2019-042</t>
  </si>
  <si>
    <t>R2019-043</t>
  </si>
  <si>
    <t>R2019-044</t>
  </si>
  <si>
    <t>R2020-045</t>
  </si>
  <si>
    <t>R2020-046</t>
  </si>
  <si>
    <t>R2020-047</t>
  </si>
  <si>
    <t>R2020-048</t>
  </si>
  <si>
    <t>R1021-031</t>
  </si>
  <si>
    <t>R1021-032</t>
  </si>
  <si>
    <t>R1021-033</t>
  </si>
  <si>
    <t>R1021-034</t>
  </si>
  <si>
    <t>R1021-035</t>
  </si>
  <si>
    <t>R1021-036</t>
  </si>
  <si>
    <t>R1022-037</t>
  </si>
  <si>
    <t>R1022-038</t>
  </si>
  <si>
    <t>R1022-039</t>
  </si>
  <si>
    <t>R1022-040</t>
  </si>
  <si>
    <t>R1022-041</t>
  </si>
  <si>
    <t>R1022-042</t>
  </si>
  <si>
    <t>R3023-031</t>
  </si>
  <si>
    <t>R3023-032</t>
  </si>
  <si>
    <t>R3023-033</t>
  </si>
  <si>
    <t>R3023-034</t>
  </si>
  <si>
    <t>R3023-035</t>
  </si>
  <si>
    <t>R3023-036</t>
  </si>
  <si>
    <t>R3023-037</t>
  </si>
  <si>
    <t>R4024-001</t>
  </si>
  <si>
    <t>R4024-002</t>
  </si>
  <si>
    <t>R4024-003</t>
  </si>
  <si>
    <t>R4024-004</t>
  </si>
  <si>
    <t>R4024-005</t>
  </si>
  <si>
    <t>R4024-006</t>
  </si>
  <si>
    <t>R4024-007</t>
  </si>
  <si>
    <t>R4024-008</t>
  </si>
  <si>
    <t>R4024-009</t>
  </si>
  <si>
    <t>R4024-010</t>
  </si>
  <si>
    <t>R2025-049</t>
  </si>
  <si>
    <t>R2025-050</t>
  </si>
  <si>
    <t>R2025-051</t>
  </si>
  <si>
    <t>R2025-052</t>
  </si>
  <si>
    <t>R2026-053</t>
  </si>
  <si>
    <t>R2026-054</t>
  </si>
  <si>
    <t>R2026-055</t>
  </si>
  <si>
    <t>R2026-056</t>
  </si>
  <si>
    <t>R3027-048</t>
  </si>
  <si>
    <t>R3027-049</t>
  </si>
  <si>
    <t>R3027-050</t>
  </si>
  <si>
    <t>R3027-051</t>
  </si>
  <si>
    <t>R3027-052</t>
  </si>
  <si>
    <t>R3027-053</t>
  </si>
  <si>
    <t>R3027-054</t>
  </si>
  <si>
    <t>R3027-055</t>
  </si>
  <si>
    <t>R5028-0001</t>
  </si>
  <si>
    <t>R5028-0002</t>
  </si>
  <si>
    <t>R5028-0003</t>
  </si>
  <si>
    <t>R5028-0004</t>
  </si>
  <si>
    <t>R5028-0005</t>
  </si>
  <si>
    <t>R5028-0006</t>
  </si>
  <si>
    <t>R5028-0007</t>
  </si>
  <si>
    <t>R5028-0008</t>
  </si>
  <si>
    <t>R5028-0009</t>
  </si>
  <si>
    <t>R5029-010</t>
  </si>
  <si>
    <t>R5029-011</t>
  </si>
  <si>
    <t>R5029-012</t>
  </si>
  <si>
    <t>R5029-013</t>
  </si>
  <si>
    <t>R5029-014</t>
  </si>
  <si>
    <t>R5029-015</t>
  </si>
  <si>
    <t>R5029-016</t>
  </si>
  <si>
    <t>R5029-017</t>
  </si>
  <si>
    <t>R5029-018</t>
  </si>
  <si>
    <t>R5029-019</t>
  </si>
  <si>
    <t>R5030-020</t>
  </si>
  <si>
    <t>R5030-021</t>
  </si>
  <si>
    <t>R5030-022</t>
  </si>
  <si>
    <t>R5030-023</t>
  </si>
  <si>
    <t>R5030-024</t>
  </si>
  <si>
    <t>R5030-025</t>
  </si>
  <si>
    <t>R5030-026</t>
  </si>
  <si>
    <t>R5030-027</t>
  </si>
  <si>
    <t>R5030-028</t>
  </si>
  <si>
    <t>R1001</t>
  </si>
  <si>
    <t>R1002</t>
  </si>
  <si>
    <t>R1003</t>
  </si>
  <si>
    <t>R1004</t>
  </si>
  <si>
    <t>R1005</t>
  </si>
  <si>
    <t>R2006</t>
  </si>
  <si>
    <t>R2007</t>
  </si>
  <si>
    <t>R2008</t>
  </si>
  <si>
    <t>R3009</t>
  </si>
  <si>
    <t>R3010</t>
  </si>
  <si>
    <t>R3011</t>
  </si>
  <si>
    <t>R2012</t>
  </si>
  <si>
    <t>R2013</t>
  </si>
  <si>
    <t>R2014</t>
  </si>
  <si>
    <t>R2015</t>
  </si>
  <si>
    <t>R2016</t>
  </si>
  <si>
    <t>R2017</t>
  </si>
  <si>
    <t>R2018</t>
  </si>
  <si>
    <t>R2019</t>
  </si>
  <si>
    <t>R2020</t>
  </si>
  <si>
    <t>R1021</t>
  </si>
  <si>
    <t>R1022</t>
  </si>
  <si>
    <t>R3023</t>
  </si>
  <si>
    <t>R4024</t>
  </si>
  <si>
    <t>R1025</t>
  </si>
  <si>
    <t>R1026</t>
  </si>
  <si>
    <t>R3027</t>
  </si>
  <si>
    <t>R5028</t>
  </si>
  <si>
    <t>R5029</t>
  </si>
  <si>
    <t>R5030</t>
  </si>
  <si>
    <t>Vacant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</si>
</sst>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d\-mmm\-yy"/>
    <numFmt numFmtId="165" formatCode="mmmm\ \-yyyy"/>
  </numFmts>
  <fonts count="4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entury Gothic"/>
      <family val="2"/>
    </font>
    <font>
      <sz val="11"/>
      <color theme="1"/>
      <name val="Century Gothic"/>
      <family val="2"/>
    </font>
    <font>
      <sz val="10"/>
      <color theme="1"/>
      <name val="Century Gothic"/>
      <family val="2"/>
    </font>
    <font>
      <b/>
      <sz val="10"/>
      <color theme="1"/>
      <name val="Century Gothic"/>
      <family val="2"/>
    </font>
    <font>
      <sz val="11"/>
      <name val="Calibri"/>
      <family val="2"/>
    </font>
    <font>
      <b/>
      <sz val="18"/>
      <color theme="1"/>
      <name val="Century Gothic"/>
      <family val="2"/>
    </font>
    <font>
      <sz val="11"/>
      <color theme="1"/>
      <name val="Calibri"/>
      <family val="2"/>
      <scheme val="minor"/>
    </font>
    <font>
      <sz val="9"/>
      <color theme="1"/>
      <name val="&quot;Segoe UI Variable Small&quot;"/>
    </font>
    <font>
      <sz val="9"/>
      <color theme="1"/>
      <name val="Arial"/>
      <family val="2"/>
    </font>
    <font>
      <b/>
      <sz val="11"/>
      <color rgb="FF000000"/>
      <name val="Calibri"/>
      <family val="2"/>
    </font>
    <font>
      <b/>
      <sz val="11"/>
      <color theme="1"/>
      <name val="Century Gothic"/>
      <family val="2"/>
    </font>
    <font>
      <sz val="9"/>
      <color theme="1"/>
      <name val="Century Gothic"/>
      <family val="2"/>
    </font>
    <font>
      <u/>
      <sz val="11"/>
      <color rgb="FF0000FF"/>
      <name val="Century Gothic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entury Gothic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rgb="FF000000"/>
      <name val="&quot;Century Gothic&quot;"/>
    </font>
    <font>
      <u/>
      <sz val="11"/>
      <color theme="10"/>
      <name val="Calibri"/>
      <family val="2"/>
      <scheme val="minor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sz val="11"/>
      <color rgb="FF000000"/>
      <name val="Calibri"/>
      <family val="2"/>
    </font>
    <font>
      <sz val="11"/>
      <color theme="1"/>
      <name val="Book Antiqua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name val="Book Antiqua"/>
      <family val="1"/>
    </font>
    <font>
      <sz val="10"/>
      <name val="Arial"/>
      <family val="2"/>
    </font>
    <font>
      <sz val="10"/>
      <name val="Calibri"/>
      <family val="1"/>
      <scheme val="major"/>
    </font>
    <font>
      <sz val="11"/>
      <name val="Calibri"/>
      <family val="2"/>
      <scheme val="minor"/>
    </font>
    <font>
      <sz val="10"/>
      <name val="Book Antiqua"/>
      <family val="1"/>
    </font>
    <font>
      <sz val="11"/>
      <color rgb="FF000000"/>
      <name val="Segoe UI Variable Small"/>
    </font>
    <font>
      <b/>
      <sz val="11"/>
      <color rgb="FF3F3F3F"/>
      <name val="Calibri"/>
      <family val="2"/>
      <scheme val="minor"/>
    </font>
    <font>
      <sz val="11"/>
      <color rgb="FF000000"/>
      <name val="Book Antiqua"/>
      <family val="1"/>
    </font>
    <font>
      <sz val="11"/>
      <name val="Aptos"/>
    </font>
    <font>
      <sz val="11"/>
      <color rgb="FFFF0000"/>
      <name val="Aptos"/>
    </font>
    <font>
      <sz val="11"/>
      <color rgb="FFFF0000"/>
      <name val="Book Antiqua"/>
      <family val="1"/>
    </font>
  </fonts>
  <fills count="15">
    <fill>
      <patternFill patternType="none"/>
    </fill>
    <fill>
      <patternFill patternType="gray125"/>
    </fill>
    <fill>
      <patternFill patternType="solid">
        <fgColor rgb="FFFDE9D9"/>
        <bgColor rgb="FFFDE9D9"/>
      </patternFill>
    </fill>
    <fill>
      <patternFill patternType="solid">
        <fgColor rgb="FF00B0F0"/>
        <bgColor rgb="FF00B0F0"/>
      </patternFill>
    </fill>
    <fill>
      <patternFill patternType="solid">
        <fgColor rgb="FFA6A6A6"/>
        <bgColor rgb="FFA6A6A6"/>
      </patternFill>
    </fill>
    <fill>
      <patternFill patternType="solid">
        <fgColor theme="9"/>
        <bgColor theme="9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2F2F2"/>
      </patternFill>
    </fill>
    <fill>
      <patternFill patternType="solid">
        <fgColor rgb="FF00FF00"/>
        <bgColor indexed="64"/>
      </patternFill>
    </fill>
    <fill>
      <patternFill patternType="solid">
        <fgColor theme="8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3" fillId="0" borderId="0" applyNumberFormat="0" applyFill="0" applyBorder="0" applyAlignment="0" applyProtection="0"/>
    <xf numFmtId="0" fontId="31" fillId="0" borderId="0"/>
    <xf numFmtId="0" fontId="36" fillId="12" borderId="7" applyNumberFormat="0" applyAlignment="0" applyProtection="0"/>
  </cellStyleXfs>
  <cellXfs count="158">
    <xf numFmtId="0" fontId="0" fillId="0" borderId="0" xfId="0" applyFont="1" applyAlignment="1"/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5" fontId="6" fillId="0" borderId="1" xfId="0" applyNumberFormat="1" applyFont="1" applyBorder="1" applyAlignment="1">
      <alignment horizontal="center" vertical="center"/>
    </xf>
    <xf numFmtId="0" fontId="5" fillId="0" borderId="0" xfId="0" applyFont="1" applyAlignment="1"/>
    <xf numFmtId="0" fontId="5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/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/>
    <xf numFmtId="0" fontId="11" fillId="4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4" fillId="5" borderId="1" xfId="0" applyFont="1" applyFill="1" applyBorder="1" applyAlignment="1">
      <alignment horizontal="center"/>
    </xf>
    <xf numFmtId="0" fontId="14" fillId="5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center"/>
    </xf>
    <xf numFmtId="0" fontId="13" fillId="6" borderId="1" xfId="0" applyFont="1" applyFill="1" applyBorder="1" applyAlignment="1"/>
    <xf numFmtId="0" fontId="13" fillId="6" borderId="6" xfId="0" applyFont="1" applyFill="1" applyBorder="1" applyAlignment="1"/>
    <xf numFmtId="0" fontId="13" fillId="6" borderId="6" xfId="0" applyFont="1" applyFill="1" applyBorder="1" applyAlignment="1">
      <alignment horizontal="center"/>
    </xf>
    <xf numFmtId="0" fontId="18" fillId="0" borderId="4" xfId="0" applyFont="1" applyBorder="1" applyAlignment="1"/>
    <xf numFmtId="0" fontId="18" fillId="0" borderId="1" xfId="0" applyFont="1" applyBorder="1" applyAlignment="1"/>
    <xf numFmtId="0" fontId="18" fillId="0" borderId="5" xfId="0" applyFont="1" applyBorder="1" applyAlignment="1">
      <alignment horizontal="right"/>
    </xf>
    <xf numFmtId="0" fontId="18" fillId="0" borderId="5" xfId="0" applyFont="1" applyBorder="1" applyAlignment="1">
      <alignment horizontal="center"/>
    </xf>
    <xf numFmtId="0" fontId="18" fillId="0" borderId="5" xfId="0" applyFont="1" applyBorder="1" applyAlignment="1">
      <alignment horizontal="left"/>
    </xf>
    <xf numFmtId="0" fontId="18" fillId="0" borderId="5" xfId="0" applyFont="1" applyBorder="1" applyAlignment="1"/>
    <xf numFmtId="0" fontId="18" fillId="0" borderId="0" xfId="0" applyFont="1" applyAlignment="1"/>
    <xf numFmtId="0" fontId="18" fillId="0" borderId="1" xfId="0" applyFont="1" applyBorder="1" applyAlignment="1"/>
    <xf numFmtId="0" fontId="18" fillId="0" borderId="4" xfId="0" applyFont="1" applyBorder="1" applyAlignment="1"/>
    <xf numFmtId="0" fontId="18" fillId="0" borderId="6" xfId="0" applyFont="1" applyBorder="1" applyAlignment="1">
      <alignment horizontal="right"/>
    </xf>
    <xf numFmtId="0" fontId="18" fillId="0" borderId="6" xfId="0" applyFont="1" applyBorder="1" applyAlignment="1"/>
    <xf numFmtId="0" fontId="18" fillId="0" borderId="6" xfId="0" applyFont="1" applyBorder="1" applyAlignment="1">
      <alignment horizontal="left"/>
    </xf>
    <xf numFmtId="0" fontId="18" fillId="0" borderId="0" xfId="0" applyFont="1" applyAlignment="1"/>
    <xf numFmtId="0" fontId="18" fillId="0" borderId="4" xfId="0" applyFont="1" applyBorder="1" applyAlignment="1"/>
    <xf numFmtId="0" fontId="18" fillId="0" borderId="5" xfId="0" applyFont="1" applyBorder="1" applyAlignment="1">
      <alignment horizontal="right"/>
    </xf>
    <xf numFmtId="0" fontId="18" fillId="0" borderId="5" xfId="0" applyFont="1" applyBorder="1" applyAlignment="1"/>
    <xf numFmtId="0" fontId="18" fillId="0" borderId="5" xfId="0" applyFont="1" applyBorder="1" applyAlignment="1">
      <alignment horizontal="left"/>
    </xf>
    <xf numFmtId="0" fontId="13" fillId="0" borderId="4" xfId="0" applyFont="1" applyBorder="1" applyAlignment="1"/>
    <xf numFmtId="0" fontId="18" fillId="0" borderId="5" xfId="0" applyFont="1" applyBorder="1" applyAlignment="1"/>
    <xf numFmtId="0" fontId="18" fillId="0" borderId="5" xfId="0" applyFont="1" applyBorder="1" applyAlignment="1">
      <alignment horizontal="center"/>
    </xf>
    <xf numFmtId="0" fontId="18" fillId="0" borderId="5" xfId="0" applyFont="1" applyBorder="1" applyAlignment="1">
      <alignment horizontal="center"/>
    </xf>
    <xf numFmtId="0" fontId="10" fillId="0" borderId="0" xfId="0" applyFont="1" applyAlignment="1"/>
    <xf numFmtId="0" fontId="18" fillId="0" borderId="5" xfId="0" applyFont="1" applyBorder="1" applyAlignment="1"/>
    <xf numFmtId="0" fontId="18" fillId="7" borderId="5" xfId="0" applyFont="1" applyFill="1" applyBorder="1" applyAlignment="1"/>
    <xf numFmtId="0" fontId="18" fillId="0" borderId="5" xfId="0" applyFont="1" applyBorder="1" applyAlignment="1"/>
    <xf numFmtId="0" fontId="19" fillId="0" borderId="0" xfId="0" applyFont="1" applyAlignment="1">
      <alignment horizontal="left" vertical="center"/>
    </xf>
    <xf numFmtId="0" fontId="20" fillId="0" borderId="0" xfId="0" applyFont="1" applyAlignment="1"/>
    <xf numFmtId="0" fontId="18" fillId="0" borderId="5" xfId="0" applyFont="1" applyBorder="1" applyAlignment="1">
      <alignment horizontal="center"/>
    </xf>
    <xf numFmtId="0" fontId="18" fillId="0" borderId="1" xfId="0" applyFont="1" applyBorder="1" applyAlignment="1"/>
    <xf numFmtId="0" fontId="10" fillId="0" borderId="1" xfId="0" applyFont="1" applyBorder="1" applyAlignment="1"/>
    <xf numFmtId="0" fontId="13" fillId="0" borderId="1" xfId="0" applyFont="1" applyBorder="1" applyAlignment="1"/>
    <xf numFmtId="0" fontId="18" fillId="0" borderId="1" xfId="0" applyFont="1" applyBorder="1" applyAlignment="1"/>
    <xf numFmtId="0" fontId="13" fillId="7" borderId="5" xfId="0" applyFont="1" applyFill="1" applyBorder="1" applyAlignment="1"/>
    <xf numFmtId="0" fontId="18" fillId="7" borderId="5" xfId="0" applyFont="1" applyFill="1" applyBorder="1" applyAlignment="1"/>
    <xf numFmtId="0" fontId="18" fillId="0" borderId="0" xfId="0" applyFont="1" applyAlignment="1">
      <alignment horizontal="right"/>
    </xf>
    <xf numFmtId="0" fontId="18" fillId="0" borderId="6" xfId="0" applyFont="1" applyBorder="1" applyAlignment="1">
      <alignment horizontal="right"/>
    </xf>
    <xf numFmtId="0" fontId="21" fillId="0" borderId="0" xfId="0" applyFont="1"/>
    <xf numFmtId="0" fontId="13" fillId="8" borderId="1" xfId="0" applyFont="1" applyFill="1" applyBorder="1" applyAlignment="1"/>
    <xf numFmtId="0" fontId="13" fillId="8" borderId="6" xfId="0" applyFont="1" applyFill="1" applyBorder="1" applyAlignment="1"/>
    <xf numFmtId="0" fontId="21" fillId="0" borderId="0" xfId="0" applyFont="1" applyAlignment="1">
      <alignment horizontal="center"/>
    </xf>
    <xf numFmtId="0" fontId="18" fillId="6" borderId="1" xfId="0" applyFont="1" applyFill="1" applyBorder="1" applyAlignment="1"/>
    <xf numFmtId="0" fontId="18" fillId="6" borderId="6" xfId="0" applyFont="1" applyFill="1" applyBorder="1" applyAlignment="1"/>
    <xf numFmtId="0" fontId="21" fillId="0" borderId="1" xfId="0" applyFont="1" applyBorder="1"/>
    <xf numFmtId="0" fontId="21" fillId="0" borderId="1" xfId="0" applyFont="1" applyBorder="1" applyAlignment="1">
      <alignment horizontal="center"/>
    </xf>
    <xf numFmtId="0" fontId="17" fillId="0" borderId="1" xfId="0" applyFont="1" applyBorder="1"/>
    <xf numFmtId="0" fontId="13" fillId="6" borderId="1" xfId="0" applyFont="1" applyFill="1" applyBorder="1" applyAlignment="1">
      <alignment horizontal="center"/>
    </xf>
    <xf numFmtId="0" fontId="22" fillId="0" borderId="4" xfId="0" applyFont="1" applyBorder="1" applyAlignment="1"/>
    <xf numFmtId="0" fontId="18" fillId="0" borderId="4" xfId="0" applyFont="1" applyBorder="1" applyAlignment="1"/>
    <xf numFmtId="0" fontId="10" fillId="0" borderId="5" xfId="0" applyFont="1" applyBorder="1"/>
    <xf numFmtId="0" fontId="22" fillId="0" borderId="1" xfId="0" applyFont="1" applyBorder="1" applyAlignment="1"/>
    <xf numFmtId="0" fontId="24" fillId="0" borderId="0" xfId="0" applyFont="1"/>
    <xf numFmtId="0" fontId="25" fillId="0" borderId="0" xfId="0" applyFont="1"/>
    <xf numFmtId="0" fontId="3" fillId="0" borderId="0" xfId="0" applyFont="1" applyAlignment="1"/>
    <xf numFmtId="0" fontId="26" fillId="0" borderId="0" xfId="0" applyFont="1" applyFill="1" applyBorder="1" applyAlignment="1"/>
    <xf numFmtId="0" fontId="23" fillId="0" borderId="1" xfId="1" applyBorder="1" applyAlignment="1">
      <alignment horizontal="center" vertical="center"/>
    </xf>
    <xf numFmtId="0" fontId="0" fillId="0" borderId="0" xfId="0" applyFont="1" applyAlignment="1"/>
    <xf numFmtId="0" fontId="2" fillId="0" borderId="0" xfId="0" applyFont="1" applyAlignment="1"/>
    <xf numFmtId="0" fontId="2" fillId="9" borderId="0" xfId="0" applyFont="1" applyFill="1" applyAlignment="1"/>
    <xf numFmtId="0" fontId="2" fillId="9" borderId="8" xfId="0" applyFont="1" applyFill="1" applyBorder="1" applyAlignment="1"/>
    <xf numFmtId="0" fontId="0" fillId="9" borderId="8" xfId="0" applyFont="1" applyFill="1" applyBorder="1" applyAlignment="1"/>
    <xf numFmtId="0" fontId="0" fillId="0" borderId="8" xfId="0" applyFill="1" applyBorder="1"/>
    <xf numFmtId="0" fontId="27" fillId="0" borderId="8" xfId="0" applyFont="1" applyFill="1" applyBorder="1" applyAlignment="1">
      <alignment horizontal="center"/>
    </xf>
    <xf numFmtId="0" fontId="13" fillId="6" borderId="9" xfId="0" applyFont="1" applyFill="1" applyBorder="1" applyAlignment="1"/>
    <xf numFmtId="0" fontId="18" fillId="0" borderId="8" xfId="0" applyFont="1" applyBorder="1" applyAlignment="1"/>
    <xf numFmtId="0" fontId="18" fillId="0" borderId="8" xfId="0" applyFont="1" applyBorder="1" applyAlignment="1">
      <alignment horizontal="right"/>
    </xf>
    <xf numFmtId="0" fontId="0" fillId="0" borderId="8" xfId="0" applyFont="1" applyBorder="1" applyAlignment="1"/>
    <xf numFmtId="0" fontId="30" fillId="0" borderId="8" xfId="0" applyFont="1" applyFill="1" applyBorder="1"/>
    <xf numFmtId="0" fontId="32" fillId="0" borderId="8" xfId="2" applyFont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27" fillId="0" borderId="7" xfId="0" applyFont="1" applyFill="1" applyBorder="1"/>
    <xf numFmtId="0" fontId="32" fillId="0" borderId="8" xfId="2" applyFont="1" applyFill="1" applyBorder="1" applyAlignment="1">
      <alignment horizontal="center" vertical="center" wrapText="1"/>
    </xf>
    <xf numFmtId="0" fontId="18" fillId="0" borderId="8" xfId="0" applyFont="1" applyFill="1" applyBorder="1" applyAlignment="1"/>
    <xf numFmtId="0" fontId="0" fillId="0" borderId="8" xfId="0" applyFont="1" applyFill="1" applyBorder="1" applyAlignment="1"/>
    <xf numFmtId="0" fontId="30" fillId="9" borderId="8" xfId="0" applyFont="1" applyFill="1" applyBorder="1"/>
    <xf numFmtId="0" fontId="30" fillId="9" borderId="8" xfId="0" applyFont="1" applyFill="1" applyBorder="1" applyAlignment="1">
      <alignment horizontal="center"/>
    </xf>
    <xf numFmtId="0" fontId="18" fillId="10" borderId="5" xfId="0" applyFont="1" applyFill="1" applyBorder="1" applyAlignment="1"/>
    <xf numFmtId="0" fontId="6" fillId="10" borderId="1" xfId="0" applyFont="1" applyFill="1" applyBorder="1" applyAlignment="1">
      <alignment horizontal="center" vertical="center"/>
    </xf>
    <xf numFmtId="0" fontId="33" fillId="0" borderId="8" xfId="0" applyFont="1" applyFill="1" applyBorder="1"/>
    <xf numFmtId="0" fontId="34" fillId="0" borderId="8" xfId="0" applyFont="1" applyFill="1" applyBorder="1" applyAlignment="1">
      <alignment horizontal="center"/>
    </xf>
    <xf numFmtId="0" fontId="30" fillId="0" borderId="8" xfId="0" applyFont="1" applyFill="1" applyBorder="1" applyAlignment="1">
      <alignment horizontal="center"/>
    </xf>
    <xf numFmtId="0" fontId="11" fillId="0" borderId="1" xfId="0" applyFont="1" applyFill="1" applyBorder="1" applyAlignment="1">
      <alignment horizontal="center"/>
    </xf>
    <xf numFmtId="0" fontId="26" fillId="11" borderId="0" xfId="0" applyFont="1" applyFill="1" applyBorder="1" applyAlignment="1"/>
    <xf numFmtId="0" fontId="2" fillId="11" borderId="0" xfId="0" applyFont="1" applyFill="1" applyAlignment="1"/>
    <xf numFmtId="0" fontId="30" fillId="0" borderId="10" xfId="0" applyFont="1" applyFill="1" applyBorder="1"/>
    <xf numFmtId="0" fontId="32" fillId="0" borderId="10" xfId="2" applyFont="1" applyFill="1" applyBorder="1" applyAlignment="1">
      <alignment horizontal="center" vertical="center" wrapText="1"/>
    </xf>
    <xf numFmtId="0" fontId="18" fillId="0" borderId="11" xfId="0" applyFont="1" applyBorder="1" applyAlignment="1"/>
    <xf numFmtId="0" fontId="30" fillId="0" borderId="12" xfId="0" applyFont="1" applyFill="1" applyBorder="1"/>
    <xf numFmtId="0" fontId="32" fillId="0" borderId="12" xfId="2" applyFont="1" applyFill="1" applyBorder="1" applyAlignment="1">
      <alignment horizontal="center" vertical="center" wrapText="1"/>
    </xf>
    <xf numFmtId="0" fontId="30" fillId="0" borderId="8" xfId="0" applyFont="1" applyFill="1" applyBorder="1" applyAlignment="1">
      <alignment vertical="center" wrapText="1"/>
    </xf>
    <xf numFmtId="0" fontId="30" fillId="0" borderId="10" xfId="0" applyFont="1" applyFill="1" applyBorder="1" applyAlignment="1">
      <alignment horizontal="center"/>
    </xf>
    <xf numFmtId="0" fontId="34" fillId="0" borderId="8" xfId="0" applyFont="1" applyFill="1" applyBorder="1"/>
    <xf numFmtId="0" fontId="27" fillId="0" borderId="8" xfId="0" applyFont="1" applyFill="1" applyBorder="1"/>
    <xf numFmtId="0" fontId="35" fillId="9" borderId="8" xfId="0" applyFont="1" applyFill="1" applyBorder="1" applyAlignment="1">
      <alignment vertical="center" wrapText="1"/>
    </xf>
    <xf numFmtId="0" fontId="5" fillId="13" borderId="0" xfId="0" applyFont="1" applyFill="1" applyAlignment="1">
      <alignment horizontal="center" vertical="center"/>
    </xf>
    <xf numFmtId="0" fontId="5" fillId="11" borderId="0" xfId="0" applyFont="1" applyFill="1" applyAlignment="1">
      <alignment horizontal="center" vertical="center"/>
    </xf>
    <xf numFmtId="0" fontId="30" fillId="0" borderId="8" xfId="0" applyFont="1" applyFill="1" applyBorder="1" applyAlignment="1">
      <alignment horizontal="left"/>
    </xf>
    <xf numFmtId="0" fontId="30" fillId="0" borderId="7" xfId="3" applyFont="1" applyFill="1" applyBorder="1" applyAlignment="1">
      <alignment vertical="center" wrapText="1"/>
    </xf>
    <xf numFmtId="0" fontId="5" fillId="9" borderId="0" xfId="0" applyFont="1" applyFill="1" applyAlignment="1">
      <alignment horizontal="center" vertical="center"/>
    </xf>
    <xf numFmtId="0" fontId="37" fillId="9" borderId="8" xfId="0" applyFont="1" applyFill="1" applyBorder="1" applyAlignment="1">
      <alignment vertical="center"/>
    </xf>
    <xf numFmtId="0" fontId="37" fillId="9" borderId="8" xfId="0" applyFont="1" applyFill="1" applyBorder="1" applyAlignment="1">
      <alignment horizontal="center" vertical="center"/>
    </xf>
    <xf numFmtId="0" fontId="38" fillId="0" borderId="8" xfId="0" applyFont="1" applyFill="1" applyBorder="1" applyAlignment="1">
      <alignment horizontal="left" vertical="center" wrapText="1"/>
    </xf>
    <xf numFmtId="0" fontId="6" fillId="14" borderId="1" xfId="0" applyFont="1" applyFill="1" applyBorder="1" applyAlignment="1">
      <alignment horizontal="center" vertical="center"/>
    </xf>
    <xf numFmtId="0" fontId="34" fillId="9" borderId="8" xfId="0" applyFont="1" applyFill="1" applyBorder="1"/>
    <xf numFmtId="0" fontId="32" fillId="0" borderId="14" xfId="2" applyFont="1" applyFill="1" applyBorder="1" applyAlignment="1">
      <alignment horizontal="center" vertical="center" wrapText="1"/>
    </xf>
    <xf numFmtId="0" fontId="13" fillId="0" borderId="4" xfId="0" applyFont="1" applyBorder="1" applyAlignment="1">
      <alignment horizontal="center"/>
    </xf>
    <xf numFmtId="0" fontId="10" fillId="0" borderId="8" xfId="0" applyFont="1" applyBorder="1"/>
    <xf numFmtId="0" fontId="12" fillId="0" borderId="8" xfId="0" applyFont="1" applyBorder="1" applyAlignment="1">
      <alignment horizontal="center"/>
    </xf>
    <xf numFmtId="0" fontId="1" fillId="0" borderId="0" xfId="0" applyFont="1" applyAlignment="1"/>
    <xf numFmtId="0" fontId="11" fillId="0" borderId="1" xfId="0" applyFont="1" applyFill="1" applyBorder="1" applyAlignment="1">
      <alignment horizontal="left"/>
    </xf>
    <xf numFmtId="0" fontId="23" fillId="0" borderId="0" xfId="1" quotePrefix="1"/>
    <xf numFmtId="0" fontId="40" fillId="0" borderId="8" xfId="0" applyFont="1" applyFill="1" applyBorder="1" applyAlignment="1">
      <alignment horizontal="left"/>
    </xf>
    <xf numFmtId="0" fontId="39" fillId="0" borderId="8" xfId="0" applyFont="1" applyFill="1" applyBorder="1" applyAlignment="1">
      <alignment horizontal="left" vertical="center" wrapText="1"/>
    </xf>
    <xf numFmtId="0" fontId="0" fillId="0" borderId="0" xfId="0" applyFont="1" applyAlignment="1"/>
    <xf numFmtId="0" fontId="7" fillId="0" borderId="2" xfId="0" applyFont="1" applyBorder="1" applyAlignment="1">
      <alignment horizontal="center" vertical="center"/>
    </xf>
    <xf numFmtId="0" fontId="8" fillId="0" borderId="4" xfId="0" applyFont="1" applyBorder="1"/>
    <xf numFmtId="15" fontId="6" fillId="0" borderId="2" xfId="0" applyNumberFormat="1" applyFont="1" applyBorder="1" applyAlignment="1">
      <alignment horizontal="center" vertical="center"/>
    </xf>
    <xf numFmtId="0" fontId="8" fillId="0" borderId="3" xfId="0" applyFont="1" applyBorder="1"/>
    <xf numFmtId="164" fontId="6" fillId="0" borderId="2" xfId="0" applyNumberFormat="1" applyFont="1" applyBorder="1" applyAlignment="1">
      <alignment horizontal="center" vertical="center"/>
    </xf>
    <xf numFmtId="165" fontId="20" fillId="0" borderId="0" xfId="0" applyNumberFormat="1" applyFont="1" applyAlignment="1">
      <alignment horizontal="center"/>
    </xf>
    <xf numFmtId="0" fontId="0" fillId="0" borderId="0" xfId="0" applyFont="1" applyAlignment="1"/>
    <xf numFmtId="0" fontId="2" fillId="9" borderId="0" xfId="0" applyFont="1" applyFill="1" applyAlignment="1">
      <alignment horizontal="center"/>
    </xf>
    <xf numFmtId="0" fontId="5" fillId="11" borderId="13" xfId="0" applyFont="1" applyFill="1" applyBorder="1" applyAlignment="1">
      <alignment horizontal="center" vertical="center"/>
    </xf>
  </cellXfs>
  <cellStyles count="4">
    <cellStyle name="Hyperlink" xfId="1" builtinId="8"/>
    <cellStyle name="Normal" xfId="0" builtinId="0"/>
    <cellStyle name="Normal 7" xfId="2"/>
    <cellStyle name="Output" xfId="3" builtinId="21"/>
  </cellStyles>
  <dxfs count="2">
    <dxf>
      <fill>
        <patternFill patternType="solid">
          <fgColor rgb="FF92D050"/>
          <bgColor rgb="FF92D050"/>
        </patternFill>
      </fill>
    </dxf>
    <dxf>
      <fill>
        <patternFill patternType="solid">
          <fgColor rgb="FFD99594"/>
          <bgColor rgb="FFD99594"/>
        </patternFill>
      </fill>
    </dxf>
  </dxfs>
  <tableStyles count="0" defaultTableStyle="TableStyleMedium2" defaultPivotStyle="PivotStyleLight16"/>
  <colors>
    <mruColors>
      <color rgb="FF30F03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microsoft.com/office/2017/10/relationships/person" Target="persons/perso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Summary!A1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152400</xdr:colOff>
      <xdr:row>1</xdr:row>
      <xdr:rowOff>19050</xdr:rowOff>
    </xdr:from>
    <xdr:ext cx="781050" cy="352425"/>
    <xdr:sp macro="" textlink="">
      <xdr:nvSpPr>
        <xdr:cNvPr id="3" name="Shape 3">
          <a:hlinkClick xmlns:r="http://schemas.openxmlformats.org/officeDocument/2006/relationships" r:id="rId1"/>
        </xdr:cNvPr>
        <xdr:cNvSpPr/>
      </xdr:nvSpPr>
      <xdr:spPr>
        <a:xfrm>
          <a:off x="4965000" y="3613313"/>
          <a:ext cx="762000" cy="333375"/>
        </a:xfrm>
        <a:prstGeom prst="leftArrow">
          <a:avLst>
            <a:gd name="adj1" fmla="val 50000"/>
            <a:gd name="adj2" fmla="val 50000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1005"/>
  <sheetViews>
    <sheetView workbookViewId="0">
      <pane ySplit="1" topLeftCell="A2" activePane="bottomLeft" state="frozen"/>
      <selection pane="bottomLeft" sqref="A1:XFD1048576"/>
    </sheetView>
  </sheetViews>
  <sheetFormatPr defaultColWidth="14.453125" defaultRowHeight="15" customHeight="1"/>
  <cols>
    <col min="1" max="1" width="18" customWidth="1"/>
    <col min="2" max="2" width="16.7265625" customWidth="1"/>
    <col min="3" max="3" width="14.54296875" customWidth="1"/>
    <col min="4" max="4" width="15" customWidth="1"/>
    <col min="5" max="5" width="10.81640625" customWidth="1"/>
    <col min="6" max="6" width="17" customWidth="1"/>
    <col min="7" max="7" width="10.1796875" customWidth="1"/>
    <col min="8" max="8" width="19" customWidth="1"/>
    <col min="9" max="9" width="20" customWidth="1"/>
    <col min="10" max="10" width="28.1796875" customWidth="1"/>
    <col min="11" max="26" width="8.7265625" customWidth="1"/>
  </cols>
  <sheetData>
    <row r="1" spans="1:26" ht="16.5" customHeight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87" t="s">
        <v>186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6.5" customHeight="1">
      <c r="A2" s="145" t="s">
        <v>547</v>
      </c>
      <c r="B2" s="5" t="s">
        <v>9</v>
      </c>
      <c r="C2" s="137">
        <v>6</v>
      </c>
      <c r="D2" s="5" t="s">
        <v>10</v>
      </c>
      <c r="E2" s="151">
        <v>46387</v>
      </c>
      <c r="F2" s="149" t="s">
        <v>8</v>
      </c>
      <c r="G2" s="5">
        <v>6</v>
      </c>
      <c r="H2" s="5">
        <f>'Room 1-Al 06'!B10</f>
        <v>5</v>
      </c>
      <c r="I2" s="5">
        <f t="shared" ref="I2:I34" si="0">G2-H2</f>
        <v>1</v>
      </c>
      <c r="J2" s="86" t="s">
        <v>183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6.5" customHeight="1">
      <c r="A3" s="145" t="s">
        <v>548</v>
      </c>
      <c r="B3" s="5" t="s">
        <v>9</v>
      </c>
      <c r="C3" s="137">
        <v>7</v>
      </c>
      <c r="D3" s="5" t="s">
        <v>10</v>
      </c>
      <c r="E3" s="152"/>
      <c r="F3" s="152"/>
      <c r="G3" s="5">
        <v>6</v>
      </c>
      <c r="H3" s="5">
        <f>'Room 2-Al 07'!B11</f>
        <v>6</v>
      </c>
      <c r="I3" s="5">
        <f t="shared" si="0"/>
        <v>0</v>
      </c>
      <c r="J3" s="86" t="s">
        <v>183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6.5" customHeight="1">
      <c r="A4" s="145" t="s">
        <v>549</v>
      </c>
      <c r="B4" s="5" t="s">
        <v>9</v>
      </c>
      <c r="C4" s="137">
        <v>8</v>
      </c>
      <c r="D4" s="5" t="s">
        <v>10</v>
      </c>
      <c r="E4" s="152"/>
      <c r="F4" s="152"/>
      <c r="G4" s="5">
        <v>6</v>
      </c>
      <c r="H4" s="5">
        <f>'Room 3-Al-08'!B10</f>
        <v>5</v>
      </c>
      <c r="I4" s="5">
        <f t="shared" si="0"/>
        <v>1</v>
      </c>
      <c r="J4" s="86" t="s">
        <v>183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6.5" customHeight="1">
      <c r="A5" s="145" t="s">
        <v>550</v>
      </c>
      <c r="B5" s="5" t="s">
        <v>9</v>
      </c>
      <c r="C5" s="137">
        <v>12</v>
      </c>
      <c r="D5" s="5" t="s">
        <v>10</v>
      </c>
      <c r="E5" s="152"/>
      <c r="F5" s="152"/>
      <c r="G5" s="5">
        <v>6</v>
      </c>
      <c r="H5" s="5">
        <f>'Room 4-Al 12'!B10</f>
        <v>6</v>
      </c>
      <c r="I5" s="5">
        <f t="shared" si="0"/>
        <v>0</v>
      </c>
      <c r="J5" s="86" t="s">
        <v>183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6.5" customHeight="1">
      <c r="A6" s="145" t="s">
        <v>551</v>
      </c>
      <c r="B6" s="5" t="s">
        <v>9</v>
      </c>
      <c r="C6" s="137">
        <v>17</v>
      </c>
      <c r="D6" s="5" t="s">
        <v>10</v>
      </c>
      <c r="E6" s="150"/>
      <c r="F6" s="150"/>
      <c r="G6" s="5">
        <v>6</v>
      </c>
      <c r="H6" s="5">
        <f>'Room 5-Al 17'!B10</f>
        <v>5</v>
      </c>
      <c r="I6" s="5">
        <f t="shared" si="0"/>
        <v>1</v>
      </c>
      <c r="J6" s="86" t="s">
        <v>183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6.5" customHeight="1">
      <c r="A7" s="145" t="s">
        <v>552</v>
      </c>
      <c r="B7" s="5" t="s">
        <v>11</v>
      </c>
      <c r="C7" s="137">
        <v>105</v>
      </c>
      <c r="D7" s="5" t="s">
        <v>10</v>
      </c>
      <c r="E7" s="153">
        <v>46227</v>
      </c>
      <c r="F7" s="149" t="s">
        <v>8</v>
      </c>
      <c r="G7" s="104">
        <v>4</v>
      </c>
      <c r="H7" s="5">
        <f>'Room 6 -S 105'!B7</f>
        <v>3</v>
      </c>
      <c r="I7" s="5">
        <f t="shared" si="0"/>
        <v>1</v>
      </c>
      <c r="J7" s="86" t="s">
        <v>185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6.5" customHeight="1">
      <c r="A8" s="145" t="s">
        <v>553</v>
      </c>
      <c r="B8" s="5" t="s">
        <v>11</v>
      </c>
      <c r="C8" s="137">
        <v>106</v>
      </c>
      <c r="D8" s="5" t="s">
        <v>10</v>
      </c>
      <c r="E8" s="152"/>
      <c r="F8" s="152"/>
      <c r="G8" s="104">
        <v>4</v>
      </c>
      <c r="H8" s="5">
        <f>'Room 7 -S 106'!B7</f>
        <v>4</v>
      </c>
      <c r="I8" s="5">
        <f t="shared" si="0"/>
        <v>0</v>
      </c>
      <c r="J8" s="86" t="s">
        <v>185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6.5" customHeight="1">
      <c r="A9" s="145" t="s">
        <v>554</v>
      </c>
      <c r="B9" s="5" t="s">
        <v>11</v>
      </c>
      <c r="C9" s="137">
        <v>107</v>
      </c>
      <c r="D9" s="5" t="s">
        <v>10</v>
      </c>
      <c r="E9" s="150"/>
      <c r="F9" s="150"/>
      <c r="G9" s="104">
        <v>4</v>
      </c>
      <c r="H9" s="6">
        <f>'Room 8-S 107'!B7</f>
        <v>3</v>
      </c>
      <c r="I9" s="5">
        <f t="shared" si="0"/>
        <v>1</v>
      </c>
      <c r="J9" s="86" t="s">
        <v>185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6.5" customHeight="1">
      <c r="A10" s="145" t="s">
        <v>555</v>
      </c>
      <c r="B10" s="5" t="s">
        <v>12</v>
      </c>
      <c r="C10" s="137">
        <v>230</v>
      </c>
      <c r="D10" s="5" t="s">
        <v>10</v>
      </c>
      <c r="E10" s="151">
        <v>46387</v>
      </c>
      <c r="F10" s="149" t="s">
        <v>8</v>
      </c>
      <c r="G10" s="5">
        <v>9</v>
      </c>
      <c r="H10" s="5">
        <f>'Room 9 -J 230'!B13</f>
        <v>7</v>
      </c>
      <c r="I10" s="5">
        <f t="shared" si="0"/>
        <v>2</v>
      </c>
      <c r="J10" s="86" t="s">
        <v>89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6.5" customHeight="1">
      <c r="A11" s="145" t="s">
        <v>556</v>
      </c>
      <c r="B11" s="5" t="s">
        <v>12</v>
      </c>
      <c r="C11" s="137">
        <v>237</v>
      </c>
      <c r="D11" s="5" t="s">
        <v>10</v>
      </c>
      <c r="E11" s="150"/>
      <c r="F11" s="150"/>
      <c r="G11" s="5">
        <v>10</v>
      </c>
      <c r="H11" s="5">
        <f>'Room 10-J 237'!B13</f>
        <v>6</v>
      </c>
      <c r="I11" s="5">
        <f t="shared" si="0"/>
        <v>4</v>
      </c>
      <c r="J11" s="86" t="s">
        <v>89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6.5" customHeight="1">
      <c r="A12" s="145" t="s">
        <v>557</v>
      </c>
      <c r="B12" s="5" t="s">
        <v>12</v>
      </c>
      <c r="C12" s="137">
        <v>242</v>
      </c>
      <c r="D12" s="5" t="s">
        <v>10</v>
      </c>
      <c r="E12" s="7">
        <v>46387</v>
      </c>
      <c r="F12" s="8" t="s">
        <v>8</v>
      </c>
      <c r="G12" s="5">
        <v>10</v>
      </c>
      <c r="H12" s="5">
        <f>'Room 11-J 242'!B13</f>
        <v>10</v>
      </c>
      <c r="I12" s="5">
        <f t="shared" si="0"/>
        <v>0</v>
      </c>
      <c r="J12" s="86" t="s">
        <v>89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6.5" customHeight="1">
      <c r="A13" s="145" t="s">
        <v>558</v>
      </c>
      <c r="B13" s="5" t="s">
        <v>11</v>
      </c>
      <c r="C13" s="137">
        <v>108</v>
      </c>
      <c r="D13" s="5" t="s">
        <v>10</v>
      </c>
      <c r="E13" s="151">
        <v>46173</v>
      </c>
      <c r="F13" s="149" t="s">
        <v>8</v>
      </c>
      <c r="G13" s="5">
        <v>4</v>
      </c>
      <c r="H13" s="6">
        <f>'Room 12-S 108'!B7</f>
        <v>4</v>
      </c>
      <c r="I13" s="5">
        <f t="shared" si="0"/>
        <v>0</v>
      </c>
      <c r="J13" s="86" t="s">
        <v>185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6.5" customHeight="1">
      <c r="A14" s="145" t="s">
        <v>559</v>
      </c>
      <c r="B14" s="5" t="s">
        <v>11</v>
      </c>
      <c r="C14" s="137">
        <v>109</v>
      </c>
      <c r="D14" s="5" t="s">
        <v>10</v>
      </c>
      <c r="E14" s="150"/>
      <c r="F14" s="150"/>
      <c r="G14" s="5">
        <v>4</v>
      </c>
      <c r="H14" s="5">
        <f>'Room 13-S 109'!B7</f>
        <v>4</v>
      </c>
      <c r="I14" s="5">
        <f t="shared" si="0"/>
        <v>0</v>
      </c>
      <c r="J14" s="86" t="s">
        <v>185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6.5" customHeight="1">
      <c r="A15" s="145" t="s">
        <v>560</v>
      </c>
      <c r="B15" s="5" t="s">
        <v>11</v>
      </c>
      <c r="C15" s="137">
        <v>72</v>
      </c>
      <c r="D15" s="5" t="s">
        <v>10</v>
      </c>
      <c r="E15" s="151">
        <v>46356</v>
      </c>
      <c r="F15" s="149" t="s">
        <v>8</v>
      </c>
      <c r="G15" s="5">
        <v>4</v>
      </c>
      <c r="H15" s="5">
        <f>'Room 14-S 72'!B7</f>
        <v>4</v>
      </c>
      <c r="I15" s="5">
        <f t="shared" si="0"/>
        <v>0</v>
      </c>
      <c r="J15" s="86" t="s">
        <v>185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6.5" customHeight="1">
      <c r="A16" s="145" t="s">
        <v>561</v>
      </c>
      <c r="B16" s="5" t="s">
        <v>11</v>
      </c>
      <c r="C16" s="137">
        <v>73</v>
      </c>
      <c r="D16" s="5" t="s">
        <v>10</v>
      </c>
      <c r="E16" s="150"/>
      <c r="F16" s="150"/>
      <c r="G16" s="5">
        <v>4</v>
      </c>
      <c r="H16" s="5">
        <f>'Room 15-S-73'!B7</f>
        <v>4</v>
      </c>
      <c r="I16" s="5">
        <f t="shared" si="0"/>
        <v>0</v>
      </c>
      <c r="J16" s="86" t="s">
        <v>185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6.5" customHeight="1">
      <c r="A17" s="145" t="s">
        <v>562</v>
      </c>
      <c r="B17" s="5" t="s">
        <v>11</v>
      </c>
      <c r="C17" s="137">
        <v>24</v>
      </c>
      <c r="D17" s="5" t="s">
        <v>10</v>
      </c>
      <c r="E17" s="151">
        <v>46371</v>
      </c>
      <c r="F17" s="149" t="s">
        <v>8</v>
      </c>
      <c r="G17" s="5">
        <v>4</v>
      </c>
      <c r="H17" s="5">
        <f>'Room 16-S 24'!B7</f>
        <v>4</v>
      </c>
      <c r="I17" s="5">
        <f t="shared" si="0"/>
        <v>0</v>
      </c>
      <c r="J17" s="86" t="s">
        <v>185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6.5" customHeight="1">
      <c r="A18" s="145" t="s">
        <v>563</v>
      </c>
      <c r="B18" s="5" t="s">
        <v>11</v>
      </c>
      <c r="C18" s="112">
        <v>25</v>
      </c>
      <c r="D18" s="5" t="s">
        <v>10</v>
      </c>
      <c r="E18" s="152"/>
      <c r="F18" s="152"/>
      <c r="G18" s="5">
        <v>4</v>
      </c>
      <c r="H18" s="5">
        <f>'Room 17-S 25'!B7</f>
        <v>4</v>
      </c>
      <c r="I18" s="5">
        <f t="shared" si="0"/>
        <v>0</v>
      </c>
      <c r="J18" s="86" t="s">
        <v>185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6.5" customHeight="1">
      <c r="A19" s="145" t="s">
        <v>564</v>
      </c>
      <c r="B19" s="5" t="s">
        <v>11</v>
      </c>
      <c r="C19" s="137">
        <v>26</v>
      </c>
      <c r="D19" s="5" t="s">
        <v>10</v>
      </c>
      <c r="E19" s="152"/>
      <c r="F19" s="152"/>
      <c r="G19" s="5">
        <v>4</v>
      </c>
      <c r="H19" s="6">
        <f>'Room 18-S 26'!B7</f>
        <v>4</v>
      </c>
      <c r="I19" s="5">
        <f t="shared" si="0"/>
        <v>0</v>
      </c>
      <c r="J19" s="86" t="s">
        <v>185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6.5" customHeight="1">
      <c r="A20" s="145" t="s">
        <v>565</v>
      </c>
      <c r="B20" s="5" t="s">
        <v>11</v>
      </c>
      <c r="C20" s="137">
        <v>27</v>
      </c>
      <c r="D20" s="5" t="s">
        <v>10</v>
      </c>
      <c r="E20" s="152"/>
      <c r="F20" s="152"/>
      <c r="G20" s="5">
        <v>4</v>
      </c>
      <c r="H20" s="5">
        <f>'Room 19-S 27'!B7</f>
        <v>4</v>
      </c>
      <c r="I20" s="5">
        <f t="shared" si="0"/>
        <v>0</v>
      </c>
      <c r="J20" s="86" t="s">
        <v>185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6.5" customHeight="1">
      <c r="A21" s="145" t="s">
        <v>566</v>
      </c>
      <c r="B21" s="5" t="s">
        <v>11</v>
      </c>
      <c r="C21" s="137">
        <v>33</v>
      </c>
      <c r="D21" s="5" t="s">
        <v>10</v>
      </c>
      <c r="E21" s="150"/>
      <c r="F21" s="150"/>
      <c r="G21" s="5">
        <v>4</v>
      </c>
      <c r="H21" s="5">
        <f>'Room 20-S 33'!B7</f>
        <v>3</v>
      </c>
      <c r="I21" s="5">
        <f t="shared" si="0"/>
        <v>1</v>
      </c>
      <c r="J21" s="86" t="s">
        <v>185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6.5" customHeight="1">
      <c r="A22" s="145" t="s">
        <v>567</v>
      </c>
      <c r="B22" s="5" t="s">
        <v>9</v>
      </c>
      <c r="C22" s="137" t="s">
        <v>13</v>
      </c>
      <c r="D22" s="5" t="s">
        <v>10</v>
      </c>
      <c r="E22" s="153">
        <v>46370</v>
      </c>
      <c r="F22" s="149" t="s">
        <v>8</v>
      </c>
      <c r="G22" s="5">
        <v>6</v>
      </c>
      <c r="H22" s="5">
        <f>'Room 21-Al gf 05'!B10</f>
        <v>6</v>
      </c>
      <c r="I22" s="5">
        <f t="shared" si="0"/>
        <v>0</v>
      </c>
      <c r="J22" s="86" t="s">
        <v>183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6.5" customHeight="1">
      <c r="A23" s="145" t="s">
        <v>568</v>
      </c>
      <c r="B23" s="5" t="s">
        <v>9</v>
      </c>
      <c r="C23" s="137" t="s">
        <v>14</v>
      </c>
      <c r="D23" s="5" t="s">
        <v>10</v>
      </c>
      <c r="E23" s="150"/>
      <c r="F23" s="150"/>
      <c r="G23" s="5">
        <v>6</v>
      </c>
      <c r="H23" s="5">
        <f>'Room 22-Al gf-06'!B10</f>
        <v>6</v>
      </c>
      <c r="I23" s="5">
        <f t="shared" si="0"/>
        <v>0</v>
      </c>
      <c r="J23" s="86" t="s">
        <v>183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6.5" customHeight="1">
      <c r="A24" s="145" t="s">
        <v>569</v>
      </c>
      <c r="B24" s="5" t="s">
        <v>12</v>
      </c>
      <c r="C24" s="137">
        <v>134</v>
      </c>
      <c r="D24" s="5" t="s">
        <v>10</v>
      </c>
      <c r="E24" s="7">
        <v>46387</v>
      </c>
      <c r="F24" s="8" t="s">
        <v>8</v>
      </c>
      <c r="G24" s="5">
        <v>8</v>
      </c>
      <c r="H24" s="5">
        <f>'Room 23-J 134'!B13</f>
        <v>5</v>
      </c>
      <c r="I24" s="5">
        <f t="shared" si="0"/>
        <v>3</v>
      </c>
      <c r="J24" s="86" t="s">
        <v>89</v>
      </c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6.5" customHeight="1">
      <c r="A25" s="145" t="s">
        <v>570</v>
      </c>
      <c r="B25" s="5" t="s">
        <v>15</v>
      </c>
      <c r="C25" s="137" t="s">
        <v>16</v>
      </c>
      <c r="D25" s="5" t="s">
        <v>17</v>
      </c>
      <c r="E25" s="9">
        <v>46022</v>
      </c>
      <c r="F25" s="8" t="s">
        <v>8</v>
      </c>
      <c r="G25" s="6">
        <v>10</v>
      </c>
      <c r="H25" s="5">
        <f>'Room 24-AD Musaff-A12'!B13</f>
        <v>9</v>
      </c>
      <c r="I25" s="5">
        <f t="shared" si="0"/>
        <v>1</v>
      </c>
      <c r="J25" s="86" t="s">
        <v>184</v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6.5" customHeight="1">
      <c r="A26" s="145" t="s">
        <v>571</v>
      </c>
      <c r="B26" s="5" t="s">
        <v>11</v>
      </c>
      <c r="C26" s="137">
        <v>79</v>
      </c>
      <c r="D26" s="5" t="s">
        <v>10</v>
      </c>
      <c r="E26" s="7">
        <v>46198</v>
      </c>
      <c r="F26" s="149" t="s">
        <v>8</v>
      </c>
      <c r="G26" s="6">
        <v>4</v>
      </c>
      <c r="H26" s="6">
        <f>'Room 25-S 79'!B7</f>
        <v>4</v>
      </c>
      <c r="I26" s="5">
        <f t="shared" si="0"/>
        <v>0</v>
      </c>
      <c r="J26" s="86" t="s">
        <v>185</v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6.5" customHeight="1">
      <c r="A27" s="145" t="s">
        <v>572</v>
      </c>
      <c r="B27" s="5" t="s">
        <v>11</v>
      </c>
      <c r="C27" s="137">
        <v>80</v>
      </c>
      <c r="D27" s="5" t="s">
        <v>10</v>
      </c>
      <c r="E27" s="7">
        <v>46198</v>
      </c>
      <c r="F27" s="150"/>
      <c r="G27" s="6">
        <v>4</v>
      </c>
      <c r="H27" s="6">
        <f>'Room 26-S 80'!B7</f>
        <v>4</v>
      </c>
      <c r="I27" s="5">
        <f t="shared" si="0"/>
        <v>0</v>
      </c>
      <c r="J27" s="86" t="s">
        <v>185</v>
      </c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6.5" customHeight="1">
      <c r="A28" s="145" t="s">
        <v>573</v>
      </c>
      <c r="B28" s="5" t="s">
        <v>12</v>
      </c>
      <c r="C28" s="137">
        <v>306</v>
      </c>
      <c r="D28" s="5" t="s">
        <v>10</v>
      </c>
      <c r="E28" s="7">
        <v>46211</v>
      </c>
      <c r="F28" s="8" t="s">
        <v>8</v>
      </c>
      <c r="G28" s="6">
        <v>8</v>
      </c>
      <c r="H28" s="5">
        <f>'Room 27-J 306'!B11</f>
        <v>7</v>
      </c>
      <c r="I28" s="5">
        <f t="shared" si="0"/>
        <v>1</v>
      </c>
      <c r="J28" s="86" t="s">
        <v>89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6.5" customHeight="1">
      <c r="A29" s="145" t="s">
        <v>574</v>
      </c>
      <c r="B29" s="6" t="s">
        <v>18</v>
      </c>
      <c r="C29" s="137">
        <v>1</v>
      </c>
      <c r="D29" s="6" t="s">
        <v>17</v>
      </c>
      <c r="E29" s="7"/>
      <c r="F29" s="8" t="s">
        <v>8</v>
      </c>
      <c r="G29" s="6">
        <v>9</v>
      </c>
      <c r="H29" s="6">
        <f>'Room 28-Aj 01'!B12</f>
        <v>9</v>
      </c>
      <c r="I29" s="5">
        <f t="shared" si="0"/>
        <v>0</v>
      </c>
      <c r="J29" s="86" t="s">
        <v>89</v>
      </c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6.5" customHeight="1">
      <c r="A30" s="145" t="s">
        <v>575</v>
      </c>
      <c r="B30" s="6" t="s">
        <v>18</v>
      </c>
      <c r="C30" s="137">
        <v>2</v>
      </c>
      <c r="D30" s="6" t="s">
        <v>17</v>
      </c>
      <c r="E30" s="7"/>
      <c r="F30" s="8" t="s">
        <v>8</v>
      </c>
      <c r="G30" s="6">
        <v>10</v>
      </c>
      <c r="H30" s="6">
        <f>'Room 29-Aj 02'!B13</f>
        <v>8</v>
      </c>
      <c r="I30" s="5">
        <f t="shared" si="0"/>
        <v>2</v>
      </c>
      <c r="J30" s="86" t="s">
        <v>89</v>
      </c>
      <c r="K30" s="86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6.5" customHeight="1">
      <c r="A31" s="145" t="s">
        <v>576</v>
      </c>
      <c r="B31" s="6" t="s">
        <v>18</v>
      </c>
      <c r="C31" s="137">
        <v>3</v>
      </c>
      <c r="D31" s="6" t="s">
        <v>17</v>
      </c>
      <c r="E31" s="7"/>
      <c r="F31" s="8" t="s">
        <v>8</v>
      </c>
      <c r="G31" s="6">
        <v>1</v>
      </c>
      <c r="H31" s="6">
        <f>'Room 30-Aj 03'!B12</f>
        <v>1</v>
      </c>
      <c r="I31" s="5">
        <f t="shared" si="0"/>
        <v>0</v>
      </c>
      <c r="J31" s="86" t="s">
        <v>89</v>
      </c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6.5" customHeight="1">
      <c r="A32" s="90" t="s">
        <v>19</v>
      </c>
      <c r="B32" s="5" t="s">
        <v>11</v>
      </c>
      <c r="C32" s="5"/>
      <c r="D32" s="5" t="s">
        <v>10</v>
      </c>
      <c r="E32" s="7"/>
      <c r="F32" s="8"/>
      <c r="G32" s="6"/>
      <c r="H32" s="6">
        <f>Leave!C19</f>
        <v>0</v>
      </c>
      <c r="I32" s="5">
        <f t="shared" si="0"/>
        <v>0</v>
      </c>
      <c r="J32" s="86" t="s">
        <v>185</v>
      </c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6.5" customHeight="1">
      <c r="A33" s="90" t="s">
        <v>19</v>
      </c>
      <c r="B33" s="5" t="s">
        <v>9</v>
      </c>
      <c r="C33" s="5"/>
      <c r="D33" s="5" t="s">
        <v>10</v>
      </c>
      <c r="E33" s="7"/>
      <c r="F33" s="8"/>
      <c r="G33" s="6"/>
      <c r="H33" s="6">
        <f>Leave!D19</f>
        <v>3</v>
      </c>
      <c r="I33" s="5">
        <f t="shared" si="0"/>
        <v>-3</v>
      </c>
      <c r="J33" s="86" t="s">
        <v>183</v>
      </c>
      <c r="K33" s="4"/>
      <c r="L33" s="4"/>
      <c r="M33" s="4"/>
      <c r="N33" s="10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6.5" customHeight="1">
      <c r="A34" s="90" t="s">
        <v>19</v>
      </c>
      <c r="B34" s="5" t="s">
        <v>12</v>
      </c>
      <c r="C34" s="5"/>
      <c r="D34" s="5" t="s">
        <v>10</v>
      </c>
      <c r="E34" s="7"/>
      <c r="F34" s="8"/>
      <c r="G34" s="6"/>
      <c r="H34" s="6">
        <f>Leave!E19</f>
        <v>0</v>
      </c>
      <c r="I34" s="5">
        <f t="shared" si="0"/>
        <v>0</v>
      </c>
      <c r="J34" s="86" t="s">
        <v>89</v>
      </c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6.5" customHeight="1">
      <c r="A35" s="11"/>
      <c r="B35" s="11"/>
      <c r="C35" s="12"/>
      <c r="D35" s="12"/>
      <c r="E35" s="11"/>
      <c r="F35" s="11"/>
      <c r="G35" s="12"/>
      <c r="H35" s="12"/>
      <c r="I35" s="12"/>
      <c r="J35" s="4"/>
      <c r="K35" s="4"/>
      <c r="L35" s="10"/>
      <c r="M35" s="10"/>
      <c r="N35" s="10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6.5" customHeight="1">
      <c r="A36" s="11"/>
      <c r="B36" s="11"/>
      <c r="C36" s="12">
        <f>SUBTOTAL(103,C2:C31)</f>
        <v>30</v>
      </c>
      <c r="D36" s="12"/>
      <c r="E36" s="11"/>
      <c r="F36" s="11"/>
      <c r="G36" s="12">
        <f t="shared" ref="G36:I36" si="1">SUBTOTAL(109,G2:G34)</f>
        <v>173</v>
      </c>
      <c r="H36" s="12">
        <f>SUBTOTAL(109,H2:H34)</f>
        <v>157</v>
      </c>
      <c r="I36" s="12">
        <f t="shared" si="1"/>
        <v>16</v>
      </c>
      <c r="J36" s="4"/>
      <c r="K36" s="4"/>
      <c r="L36" s="10"/>
      <c r="M36" s="10"/>
      <c r="N36" s="10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6.5" customHeight="1">
      <c r="A37" s="13"/>
      <c r="B37" s="13"/>
      <c r="C37" s="13"/>
      <c r="D37" s="13"/>
      <c r="E37" s="13"/>
      <c r="F37" s="13"/>
      <c r="G37" s="13"/>
      <c r="H37" s="13"/>
      <c r="I37" s="13"/>
      <c r="J37" s="4"/>
      <c r="K37" s="4"/>
      <c r="L37" s="4"/>
      <c r="M37" s="4"/>
      <c r="N37" s="10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6.5" customHeight="1">
      <c r="A38" s="13"/>
      <c r="B38" s="13"/>
      <c r="C38" s="13"/>
      <c r="D38" s="13"/>
      <c r="E38" s="13"/>
      <c r="F38" s="13"/>
      <c r="G38" s="13"/>
      <c r="H38" s="13"/>
      <c r="I38" s="14">
        <f>1</f>
        <v>1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6.5" customHeight="1">
      <c r="A39" s="13"/>
      <c r="B39" s="13"/>
      <c r="C39" s="13"/>
      <c r="D39" s="13"/>
      <c r="E39" s="13"/>
      <c r="F39" s="13"/>
      <c r="G39" s="13"/>
      <c r="H39" s="13"/>
      <c r="I39" s="13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6.5" customHeight="1">
      <c r="A40" s="13"/>
      <c r="B40" s="13"/>
      <c r="C40" s="13"/>
      <c r="D40" s="13"/>
      <c r="E40" s="13"/>
      <c r="F40" s="13"/>
      <c r="G40" s="13"/>
      <c r="H40" s="13"/>
      <c r="I40" s="13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6.5" customHeight="1">
      <c r="A41" s="13"/>
      <c r="B41" s="13"/>
      <c r="C41" s="13"/>
      <c r="D41" s="13"/>
      <c r="E41" s="13"/>
      <c r="F41" s="13"/>
      <c r="G41" s="13"/>
      <c r="H41" s="13"/>
      <c r="I41" s="13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6.5" customHeight="1">
      <c r="A42" s="13"/>
      <c r="B42" s="13"/>
      <c r="C42" s="13"/>
      <c r="D42" s="13"/>
      <c r="E42" s="13"/>
      <c r="F42" s="13"/>
      <c r="G42" s="13"/>
      <c r="H42" s="13"/>
      <c r="I42" s="13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6.5" customHeight="1">
      <c r="A43" s="13"/>
      <c r="B43" s="13"/>
      <c r="C43" s="13"/>
      <c r="D43" s="13"/>
      <c r="E43" s="13"/>
      <c r="F43" s="13"/>
      <c r="G43" s="13"/>
      <c r="H43" s="13"/>
      <c r="I43" s="13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6.5" customHeight="1">
      <c r="A44" s="13"/>
      <c r="B44" s="13"/>
      <c r="C44" s="13"/>
      <c r="D44" s="13"/>
      <c r="E44" s="13"/>
      <c r="F44" s="13"/>
      <c r="G44" s="14"/>
      <c r="H44" s="13"/>
      <c r="I44" s="13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6.5" customHeight="1">
      <c r="A45" s="13"/>
      <c r="B45" s="13"/>
      <c r="C45" s="13"/>
      <c r="D45" s="13"/>
      <c r="E45" s="13"/>
      <c r="F45" s="13"/>
      <c r="G45" s="13"/>
      <c r="H45" s="13"/>
      <c r="I45" s="13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6.5" customHeight="1">
      <c r="A46" s="13"/>
      <c r="B46" s="13"/>
      <c r="C46" s="13"/>
      <c r="D46" s="13"/>
      <c r="E46" s="13"/>
      <c r="F46" s="13"/>
      <c r="G46" s="13"/>
      <c r="H46" s="13"/>
      <c r="I46" s="13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6.5" customHeight="1">
      <c r="A47" s="13"/>
      <c r="B47" s="13"/>
      <c r="C47" s="13"/>
      <c r="D47" s="13"/>
      <c r="E47" s="13"/>
      <c r="F47" s="13"/>
      <c r="G47" s="13"/>
      <c r="H47" s="13"/>
      <c r="I47" s="13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6.5" customHeight="1">
      <c r="A48" s="13"/>
      <c r="B48" s="13"/>
      <c r="C48" s="13"/>
      <c r="D48" s="13"/>
      <c r="E48" s="13"/>
      <c r="F48" s="13"/>
      <c r="G48" s="13"/>
      <c r="H48" s="13"/>
      <c r="I48" s="13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6.5" customHeight="1">
      <c r="A49" s="13"/>
      <c r="B49" s="13"/>
      <c r="C49" s="13"/>
      <c r="E49" s="13"/>
      <c r="F49" s="13"/>
      <c r="G49" s="13"/>
      <c r="H49" s="13"/>
      <c r="I49" s="13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6.5" customHeight="1">
      <c r="A50" s="13"/>
      <c r="B50" s="13"/>
      <c r="C50" s="13"/>
      <c r="D50" s="13"/>
      <c r="E50" s="13"/>
      <c r="F50" s="13"/>
      <c r="G50" s="13"/>
      <c r="H50" s="13"/>
      <c r="I50" s="13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6.5" customHeight="1">
      <c r="A51" s="13"/>
      <c r="B51" s="13"/>
      <c r="C51" s="13"/>
      <c r="D51" s="13"/>
      <c r="E51" s="13"/>
      <c r="F51" s="13"/>
      <c r="G51" s="13"/>
      <c r="H51" s="13"/>
      <c r="I51" s="13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6.5" customHeight="1">
      <c r="A52" s="13"/>
      <c r="B52" s="13"/>
      <c r="C52" s="13"/>
      <c r="D52" s="13"/>
      <c r="E52" s="13"/>
      <c r="F52" s="13"/>
      <c r="G52" s="13"/>
      <c r="H52" s="13"/>
      <c r="I52" s="13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6.5" customHeight="1">
      <c r="A53" s="13"/>
      <c r="B53" s="13"/>
      <c r="C53" s="13"/>
      <c r="D53" s="13"/>
      <c r="E53" s="13"/>
      <c r="F53" s="13"/>
      <c r="G53" s="13"/>
      <c r="H53" s="13"/>
      <c r="I53" s="13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6.5" customHeight="1">
      <c r="A54" s="13"/>
      <c r="B54" s="13"/>
      <c r="C54" s="13"/>
      <c r="D54" s="13"/>
      <c r="E54" s="13"/>
      <c r="F54" s="13"/>
      <c r="G54" s="13"/>
      <c r="H54" s="13"/>
      <c r="I54" s="13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6.5" customHeight="1">
      <c r="A55" s="13"/>
      <c r="B55" s="13"/>
      <c r="C55" s="13"/>
      <c r="D55" s="13"/>
      <c r="E55" s="13"/>
      <c r="F55" s="13"/>
      <c r="G55" s="13"/>
      <c r="H55" s="13"/>
      <c r="I55" s="13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6.5" customHeight="1">
      <c r="A56" s="13"/>
      <c r="B56" s="13"/>
      <c r="C56" s="13"/>
      <c r="D56" s="13"/>
      <c r="E56" s="13"/>
      <c r="F56" s="13"/>
      <c r="G56" s="13"/>
      <c r="H56" s="13"/>
      <c r="I56" s="13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6.5" customHeight="1">
      <c r="A57" s="13"/>
      <c r="B57" s="13"/>
      <c r="C57" s="13"/>
      <c r="D57" s="13"/>
      <c r="E57" s="13"/>
      <c r="F57" s="13"/>
      <c r="G57" s="13"/>
      <c r="H57" s="13"/>
      <c r="I57" s="13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6.5" customHeight="1">
      <c r="A58" s="13"/>
      <c r="B58" s="13"/>
      <c r="C58" s="13"/>
      <c r="D58" s="13"/>
      <c r="E58" s="13"/>
      <c r="F58" s="13"/>
      <c r="G58" s="13"/>
      <c r="H58" s="13"/>
      <c r="I58" s="13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6.5" customHeight="1">
      <c r="A59" s="13"/>
      <c r="B59" s="13"/>
      <c r="C59" s="13"/>
      <c r="D59" s="13"/>
      <c r="E59" s="13"/>
      <c r="F59" s="13"/>
      <c r="G59" s="13"/>
      <c r="H59" s="13"/>
      <c r="I59" s="13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6.5" customHeight="1">
      <c r="A60" s="13"/>
      <c r="B60" s="13"/>
      <c r="C60" s="13"/>
      <c r="D60" s="13"/>
      <c r="E60" s="13"/>
      <c r="F60" s="13"/>
      <c r="G60" s="13"/>
      <c r="H60" s="13"/>
      <c r="I60" s="13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6.5" customHeight="1">
      <c r="A61" s="13"/>
      <c r="B61" s="13"/>
      <c r="C61" s="13"/>
      <c r="D61" s="13"/>
      <c r="E61" s="13"/>
      <c r="F61" s="13"/>
      <c r="G61" s="13"/>
      <c r="H61" s="13"/>
      <c r="I61" s="13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6.5" customHeight="1">
      <c r="A62" s="13"/>
      <c r="B62" s="13"/>
      <c r="C62" s="13"/>
      <c r="D62" s="13"/>
      <c r="E62" s="13"/>
      <c r="F62" s="13"/>
      <c r="G62" s="13"/>
      <c r="H62" s="13"/>
      <c r="I62" s="13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6.5" customHeight="1">
      <c r="A63" s="13"/>
      <c r="B63" s="13"/>
      <c r="C63" s="13"/>
      <c r="D63" s="13"/>
      <c r="E63" s="13"/>
      <c r="F63" s="13"/>
      <c r="G63" s="13"/>
      <c r="H63" s="13"/>
      <c r="I63" s="13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6.5" customHeight="1">
      <c r="A64" s="13"/>
      <c r="B64" s="13"/>
      <c r="C64" s="13"/>
      <c r="D64" s="13"/>
      <c r="E64" s="13"/>
      <c r="F64" s="13"/>
      <c r="G64" s="13"/>
      <c r="H64" s="13"/>
      <c r="I64" s="13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6.5" customHeight="1">
      <c r="A65" s="13"/>
      <c r="B65" s="13"/>
      <c r="C65" s="13"/>
      <c r="D65" s="13"/>
      <c r="E65" s="13"/>
      <c r="F65" s="13"/>
      <c r="G65" s="13"/>
      <c r="H65" s="13"/>
      <c r="I65" s="13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6.5" customHeight="1">
      <c r="A66" s="13"/>
      <c r="B66" s="13"/>
      <c r="C66" s="13"/>
      <c r="D66" s="13"/>
      <c r="E66" s="13"/>
      <c r="F66" s="13"/>
      <c r="G66" s="13"/>
      <c r="H66" s="13"/>
      <c r="I66" s="13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6.5" customHeight="1">
      <c r="A67" s="13"/>
      <c r="B67" s="13"/>
      <c r="C67" s="13"/>
      <c r="D67" s="13"/>
      <c r="E67" s="13"/>
      <c r="F67" s="13"/>
      <c r="G67" s="13"/>
      <c r="H67" s="13"/>
      <c r="I67" s="13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6.5" customHeight="1">
      <c r="A68" s="13"/>
      <c r="B68" s="13"/>
      <c r="C68" s="13"/>
      <c r="D68" s="13"/>
      <c r="E68" s="13"/>
      <c r="F68" s="13"/>
      <c r="G68" s="13"/>
      <c r="H68" s="13"/>
      <c r="I68" s="13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6.5" customHeight="1">
      <c r="A69" s="13"/>
      <c r="B69" s="13"/>
      <c r="C69" s="13"/>
      <c r="D69" s="13"/>
      <c r="E69" s="13"/>
      <c r="F69" s="13"/>
      <c r="G69" s="13"/>
      <c r="H69" s="13"/>
      <c r="I69" s="13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6.5" customHeight="1">
      <c r="A70" s="13"/>
      <c r="B70" s="13"/>
      <c r="C70" s="13"/>
      <c r="D70" s="13"/>
      <c r="E70" s="13"/>
      <c r="F70" s="13"/>
      <c r="G70" s="13"/>
      <c r="H70" s="13"/>
      <c r="I70" s="13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6.5" customHeight="1">
      <c r="A71" s="13"/>
      <c r="B71" s="13"/>
      <c r="C71" s="13"/>
      <c r="D71" s="13"/>
      <c r="E71" s="13"/>
      <c r="F71" s="13"/>
      <c r="G71" s="13"/>
      <c r="H71" s="13"/>
      <c r="I71" s="13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6.5" customHeight="1">
      <c r="A72" s="13"/>
      <c r="B72" s="13"/>
      <c r="C72" s="13"/>
      <c r="D72" s="13"/>
      <c r="E72" s="13"/>
      <c r="F72" s="13"/>
      <c r="G72" s="13"/>
      <c r="H72" s="13"/>
      <c r="I72" s="13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6.5" customHeight="1">
      <c r="A73" s="13"/>
      <c r="B73" s="13"/>
      <c r="C73" s="13"/>
      <c r="D73" s="13"/>
      <c r="E73" s="13"/>
      <c r="F73" s="13"/>
      <c r="G73" s="13"/>
      <c r="H73" s="13"/>
      <c r="I73" s="13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6.5" customHeight="1">
      <c r="A74" s="13"/>
      <c r="B74" s="13"/>
      <c r="C74" s="13"/>
      <c r="D74" s="13"/>
      <c r="E74" s="13"/>
      <c r="F74" s="13"/>
      <c r="G74" s="13"/>
      <c r="H74" s="13"/>
      <c r="I74" s="13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6.5" customHeight="1">
      <c r="A75" s="13"/>
      <c r="B75" s="13"/>
      <c r="C75" s="13"/>
      <c r="D75" s="13"/>
      <c r="E75" s="13"/>
      <c r="F75" s="13"/>
      <c r="G75" s="13"/>
      <c r="H75" s="13"/>
      <c r="I75" s="13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6.5" customHeight="1">
      <c r="A76" s="13"/>
      <c r="B76" s="13"/>
      <c r="C76" s="13"/>
      <c r="D76" s="13"/>
      <c r="E76" s="13"/>
      <c r="F76" s="13"/>
      <c r="G76" s="13"/>
      <c r="H76" s="13"/>
      <c r="I76" s="13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6.5" customHeight="1">
      <c r="A77" s="13"/>
      <c r="B77" s="13"/>
      <c r="C77" s="13"/>
      <c r="D77" s="13"/>
      <c r="E77" s="13"/>
      <c r="F77" s="13"/>
      <c r="G77" s="13"/>
      <c r="H77" s="13"/>
      <c r="I77" s="13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6.5" customHeight="1">
      <c r="A78" s="13"/>
      <c r="B78" s="13"/>
      <c r="C78" s="13"/>
      <c r="D78" s="13"/>
      <c r="E78" s="13"/>
      <c r="F78" s="13"/>
      <c r="G78" s="13"/>
      <c r="H78" s="13"/>
      <c r="I78" s="13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6.5" customHeight="1">
      <c r="A79" s="13"/>
      <c r="B79" s="13"/>
      <c r="C79" s="13"/>
      <c r="D79" s="13"/>
      <c r="E79" s="13"/>
      <c r="F79" s="13"/>
      <c r="G79" s="13"/>
      <c r="H79" s="13"/>
      <c r="I79" s="13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6.5" customHeight="1">
      <c r="A80" s="13"/>
      <c r="B80" s="13"/>
      <c r="C80" s="13"/>
      <c r="D80" s="13"/>
      <c r="E80" s="13"/>
      <c r="F80" s="13"/>
      <c r="G80" s="13"/>
      <c r="H80" s="13"/>
      <c r="I80" s="13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6.5" customHeight="1">
      <c r="A81" s="13"/>
      <c r="B81" s="13"/>
      <c r="C81" s="13"/>
      <c r="D81" s="13"/>
      <c r="E81" s="13"/>
      <c r="F81" s="13"/>
      <c r="G81" s="13"/>
      <c r="H81" s="13"/>
      <c r="I81" s="13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6.5" customHeight="1">
      <c r="A82" s="13"/>
      <c r="B82" s="13"/>
      <c r="C82" s="13"/>
      <c r="D82" s="13"/>
      <c r="E82" s="13"/>
      <c r="F82" s="13"/>
      <c r="G82" s="13"/>
      <c r="H82" s="13"/>
      <c r="I82" s="13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6.5" customHeight="1">
      <c r="A83" s="13"/>
      <c r="B83" s="13"/>
      <c r="C83" s="13"/>
      <c r="D83" s="13"/>
      <c r="E83" s="13"/>
      <c r="F83" s="13"/>
      <c r="G83" s="13"/>
      <c r="H83" s="13"/>
      <c r="I83" s="13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6.5" customHeight="1">
      <c r="A84" s="13"/>
      <c r="B84" s="13"/>
      <c r="C84" s="13"/>
      <c r="D84" s="13"/>
      <c r="E84" s="13"/>
      <c r="F84" s="13"/>
      <c r="G84" s="13"/>
      <c r="H84" s="13"/>
      <c r="I84" s="13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6.5" customHeight="1">
      <c r="A85" s="13"/>
      <c r="B85" s="13"/>
      <c r="C85" s="13"/>
      <c r="D85" s="13"/>
      <c r="E85" s="13"/>
      <c r="F85" s="13"/>
      <c r="G85" s="13"/>
      <c r="H85" s="13"/>
      <c r="I85" s="13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6.5" customHeight="1">
      <c r="A86" s="13"/>
      <c r="B86" s="13"/>
      <c r="C86" s="13"/>
      <c r="D86" s="13"/>
      <c r="E86" s="13"/>
      <c r="F86" s="13"/>
      <c r="G86" s="13"/>
      <c r="H86" s="13"/>
      <c r="I86" s="13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6.5" customHeight="1">
      <c r="A87" s="13"/>
      <c r="B87" s="13"/>
      <c r="C87" s="13"/>
      <c r="D87" s="13"/>
      <c r="E87" s="13"/>
      <c r="F87" s="13"/>
      <c r="G87" s="13"/>
      <c r="H87" s="13"/>
      <c r="I87" s="13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6.5" customHeight="1">
      <c r="A88" s="13"/>
      <c r="B88" s="13"/>
      <c r="C88" s="13"/>
      <c r="D88" s="13"/>
      <c r="E88" s="13"/>
      <c r="F88" s="13"/>
      <c r="G88" s="13"/>
      <c r="H88" s="13"/>
      <c r="I88" s="13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6.5" customHeight="1">
      <c r="A89" s="13"/>
      <c r="B89" s="13"/>
      <c r="C89" s="13"/>
      <c r="D89" s="13"/>
      <c r="E89" s="13"/>
      <c r="F89" s="13"/>
      <c r="G89" s="13"/>
      <c r="H89" s="13"/>
      <c r="I89" s="13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6.5" customHeight="1">
      <c r="A90" s="13"/>
      <c r="B90" s="13"/>
      <c r="C90" s="13"/>
      <c r="D90" s="13"/>
      <c r="E90" s="13"/>
      <c r="F90" s="13"/>
      <c r="G90" s="13"/>
      <c r="H90" s="13"/>
      <c r="I90" s="13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6.5" customHeight="1">
      <c r="A91" s="13"/>
      <c r="B91" s="13"/>
      <c r="C91" s="13"/>
      <c r="D91" s="13"/>
      <c r="E91" s="13"/>
      <c r="F91" s="13"/>
      <c r="G91" s="13"/>
      <c r="H91" s="13"/>
      <c r="I91" s="13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6.5" customHeight="1">
      <c r="A92" s="13"/>
      <c r="B92" s="13"/>
      <c r="C92" s="13"/>
      <c r="D92" s="13"/>
      <c r="E92" s="13"/>
      <c r="F92" s="13"/>
      <c r="G92" s="13"/>
      <c r="H92" s="13"/>
      <c r="I92" s="13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6.5" customHeight="1">
      <c r="A93" s="13"/>
      <c r="B93" s="13"/>
      <c r="C93" s="13"/>
      <c r="D93" s="13"/>
      <c r="E93" s="13"/>
      <c r="F93" s="13"/>
      <c r="G93" s="13"/>
      <c r="H93" s="13"/>
      <c r="I93" s="13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6.5" customHeight="1">
      <c r="A94" s="13"/>
      <c r="B94" s="13"/>
      <c r="C94" s="13"/>
      <c r="D94" s="13"/>
      <c r="E94" s="13"/>
      <c r="F94" s="13"/>
      <c r="G94" s="13"/>
      <c r="H94" s="13"/>
      <c r="I94" s="13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6.5" customHeight="1">
      <c r="A95" s="13"/>
      <c r="B95" s="13"/>
      <c r="C95" s="13"/>
      <c r="D95" s="13"/>
      <c r="E95" s="13"/>
      <c r="F95" s="13"/>
      <c r="G95" s="13"/>
      <c r="H95" s="13"/>
      <c r="I95" s="13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6.5" customHeight="1">
      <c r="A96" s="13"/>
      <c r="B96" s="13"/>
      <c r="C96" s="13"/>
      <c r="D96" s="13"/>
      <c r="E96" s="13"/>
      <c r="F96" s="13"/>
      <c r="G96" s="13"/>
      <c r="H96" s="13"/>
      <c r="I96" s="13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6.5" customHeight="1">
      <c r="A97" s="13"/>
      <c r="B97" s="13"/>
      <c r="C97" s="13"/>
      <c r="D97" s="13"/>
      <c r="E97" s="13"/>
      <c r="F97" s="13"/>
      <c r="G97" s="13"/>
      <c r="H97" s="13"/>
      <c r="I97" s="13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6.5" customHeight="1">
      <c r="A98" s="13"/>
      <c r="B98" s="13"/>
      <c r="C98" s="13"/>
      <c r="D98" s="13"/>
      <c r="E98" s="13"/>
      <c r="F98" s="13"/>
      <c r="G98" s="13"/>
      <c r="H98" s="13"/>
      <c r="I98" s="13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6.5" customHeight="1">
      <c r="A99" s="13"/>
      <c r="B99" s="13"/>
      <c r="C99" s="13"/>
      <c r="D99" s="13"/>
      <c r="E99" s="13"/>
      <c r="F99" s="13"/>
      <c r="G99" s="13"/>
      <c r="H99" s="13"/>
      <c r="I99" s="13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6.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6.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6.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6.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6.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6.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6.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6.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6.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6.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6.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6.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6.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6.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6.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6.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6.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6.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6.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6.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6.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6.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6.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6.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6.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6.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6.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6.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6.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6.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6.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6.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6.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6.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6.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6.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6.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6.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6.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6.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6.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6.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6.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6.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6.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6.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6.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6.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6.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6.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6.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6.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6.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6.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6.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6.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6.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6.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6.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6.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6.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6.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6.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6.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6.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6.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6.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6.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6.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6.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6.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6.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6.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6.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6.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6.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6.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6.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6.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6.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6.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6.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6.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6.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6.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6.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6.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6.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6.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6.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6.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6.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6.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6.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6.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6.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6.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6.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6.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6.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6.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6.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6.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6.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6.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6.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6.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6.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6.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6.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6.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6.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6.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6.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6.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6.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6.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6.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6.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6.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6.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6.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6.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6.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6.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6.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6.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6.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6.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6.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6.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6.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6.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6.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6.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6.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6.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6.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6.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6.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6.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6.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6.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6.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6.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6.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6.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6.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6.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6.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6.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6.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6.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6.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6.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6.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6.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6.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6.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6.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6.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6.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6.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6.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6.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6.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6.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6.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6.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6.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6.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6.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6.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6.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6.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6.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6.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6.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6.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6.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6.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6.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6.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6.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6.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6.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6.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6.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6.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6.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6.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6.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6.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6.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6.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6.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6.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6.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6.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6.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6.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6.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6.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6.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6.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6.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6.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6.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6.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6.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6.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6.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6.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6.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6.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6.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6.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6.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6.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6.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6.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6.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6.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6.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6.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6.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6.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6.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6.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6.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6.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6.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6.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6.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6.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6.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6.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6.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6.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6.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6.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6.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6.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6.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6.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6.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6.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6.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6.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6.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6.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6.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6.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6.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6.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6.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6.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6.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6.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6.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6.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6.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6.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6.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6.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6.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6.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6.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6.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6.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6.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6.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6.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6.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6.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6.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6.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6.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6.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6.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6.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6.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6.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6.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6.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6.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6.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6.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6.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6.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6.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6.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6.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6.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6.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6.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6.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6.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6.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6.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6.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6.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6.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6.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6.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6.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6.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6.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6.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6.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6.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6.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6.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6.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6.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6.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6.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6.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6.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6.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6.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6.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6.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6.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6.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6.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6.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6.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6.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6.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6.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6.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6.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6.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6.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6.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6.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6.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6.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6.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6.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6.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6.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6.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6.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6.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6.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6.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6.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6.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6.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6.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6.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6.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6.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6.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6.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6.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6.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6.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6.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6.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6.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6.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6.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6.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6.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6.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6.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6.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6.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6.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6.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6.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6.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6.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6.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6.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6.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6.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6.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6.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6.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6.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6.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6.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6.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6.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6.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6.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6.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6.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6.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6.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6.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6.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6.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6.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6.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6.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6.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6.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6.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6.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6.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6.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6.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6.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6.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6.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6.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6.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6.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6.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6.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6.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6.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6.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6.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6.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6.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6.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6.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6.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6.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6.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6.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6.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6.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6.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6.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6.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6.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6.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6.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6.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6.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6.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6.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6.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6.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6.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6.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6.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6.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6.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6.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6.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6.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6.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6.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6.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6.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6.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6.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6.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6.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6.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6.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6.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6.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6.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6.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6.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6.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6.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6.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6.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6.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6.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6.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6.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6.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6.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6.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6.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6.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6.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6.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6.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6.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6.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6.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6.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6.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6.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6.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6.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6.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6.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6.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6.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6.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6.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6.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6.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6.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6.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6.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6.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6.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6.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6.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6.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6.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6.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6.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6.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6.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6.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6.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6.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6.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6.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6.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6.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6.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6.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6.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6.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6.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6.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6.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6.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6.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6.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6.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6.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6.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6.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6.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6.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6.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6.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6.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6.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6.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6.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6.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6.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6.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6.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6.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6.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6.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6.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6.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6.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6.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6.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6.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6.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6.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6.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6.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6.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6.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6.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6.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6.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6.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6.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6.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6.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6.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6.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6.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6.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6.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6.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6.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6.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6.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6.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6.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6.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6.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6.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6.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6.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6.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6.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6.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6.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6.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6.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6.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6.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6.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6.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6.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6.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6.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6.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6.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6.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6.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6.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6.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6.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6.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6.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6.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6.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6.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6.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6.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6.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6.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6.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6.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6.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6.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6.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6.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6.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6.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6.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6.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6.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6.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6.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6.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6.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6.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6.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6.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6.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6.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6.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6.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6.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6.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6.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6.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6.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6.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6.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6.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6.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6.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6.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6.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6.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6.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6.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6.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6.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6.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6.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6.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6.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6.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6.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6.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6.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6.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6.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6.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6.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6.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6.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6.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6.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6.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6.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6.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6.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6.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6.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6.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6.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6.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6.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6.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6.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6.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6.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6.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6.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6.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6.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6.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6.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6.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6.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6.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6.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6.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6.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6.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6.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6.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6.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6.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6.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6.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6.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6.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6.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6.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6.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6.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6.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6.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6.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6.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6.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6.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6.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6.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6.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6.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6.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6.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6.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6.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6.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6.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6.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6.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6.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6.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6.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6.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6.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6.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6.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6.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6.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6.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6.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6.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6.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6.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6.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6.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6.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6.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6.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6.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6.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6.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6.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6.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6.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6.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6.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6.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6.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6.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6.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6.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6.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6.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6.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6.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6.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6.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6.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6.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6.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6.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6.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6.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6.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6.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6.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6.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6.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6.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6.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6.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6.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6.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6.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6.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6.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6.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6.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6.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6.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6.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6.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6.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6.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6.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6.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6.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6.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6.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6.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6.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6.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6.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6.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6.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6.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6.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6.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6.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6.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6.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6.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6.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6.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6.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6.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6.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6.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6.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6.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6.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6.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6.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6.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6.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6.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6.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6.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6.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6.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6.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6.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6.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6.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6.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6.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6.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6.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6.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6.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6.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6.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6.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6.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6.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6.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6.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6.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6.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6.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6.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6.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6.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6.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6.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6.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6.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6.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6.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6.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6.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6.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6.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6.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6.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6.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6.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6.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6.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6.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6.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6.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6.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6.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6.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6.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6.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6.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6.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6.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6.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6.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6.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6.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6.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6.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6.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6.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6.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6.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6.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6.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6.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6.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6.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6.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6.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6.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6.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6.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6.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6.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6.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6.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6.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6.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6.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6.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6.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6.5" customHeight="1">
      <c r="A1001" s="13"/>
      <c r="B1001" s="13"/>
      <c r="C1001" s="13"/>
      <c r="D1001" s="13"/>
      <c r="E1001" s="13"/>
      <c r="F1001" s="13"/>
      <c r="G1001" s="13"/>
      <c r="H1001" s="13"/>
      <c r="I1001" s="13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6.5" customHeight="1">
      <c r="A1002" s="13"/>
      <c r="B1002" s="13"/>
      <c r="C1002" s="13"/>
      <c r="D1002" s="13"/>
      <c r="E1002" s="13"/>
      <c r="F1002" s="13"/>
      <c r="G1002" s="13"/>
      <c r="H1002" s="13"/>
      <c r="I1002" s="13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6.5" customHeight="1">
      <c r="A1003" s="13"/>
      <c r="B1003" s="13"/>
      <c r="C1003" s="13"/>
      <c r="D1003" s="13"/>
      <c r="E1003" s="13"/>
      <c r="F1003" s="13"/>
      <c r="G1003" s="13"/>
      <c r="H1003" s="13"/>
      <c r="I1003" s="13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6.5" customHeight="1">
      <c r="A1004" s="13"/>
      <c r="B1004" s="13"/>
      <c r="C1004" s="13"/>
      <c r="D1004" s="13"/>
      <c r="E1004" s="13"/>
      <c r="F1004" s="13"/>
      <c r="G1004" s="13"/>
      <c r="H1004" s="13"/>
      <c r="I1004" s="13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6.5" customHeight="1">
      <c r="A1005" s="13"/>
      <c r="B1005" s="13"/>
      <c r="C1005" s="13"/>
      <c r="D1005" s="13"/>
      <c r="E1005" s="13"/>
      <c r="F1005" s="13"/>
      <c r="G1005" s="13"/>
      <c r="H1005" s="13"/>
      <c r="I1005" s="13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</sheetData>
  <autoFilter ref="A1:J34"/>
  <mergeCells count="15">
    <mergeCell ref="F26:F27"/>
    <mergeCell ref="E2:E6"/>
    <mergeCell ref="F2:F6"/>
    <mergeCell ref="E7:E9"/>
    <mergeCell ref="F7:F9"/>
    <mergeCell ref="E10:E11"/>
    <mergeCell ref="F10:F11"/>
    <mergeCell ref="F13:F14"/>
    <mergeCell ref="F15:F16"/>
    <mergeCell ref="E13:E14"/>
    <mergeCell ref="E15:E16"/>
    <mergeCell ref="E17:E21"/>
    <mergeCell ref="F17:F21"/>
    <mergeCell ref="E22:E23"/>
    <mergeCell ref="F22:F23"/>
  </mergeCells>
  <conditionalFormatting sqref="I2:I34">
    <cfRule type="cellIs" dxfId="1" priority="1" operator="lessThan">
      <formula>0</formula>
    </cfRule>
  </conditionalFormatting>
  <conditionalFormatting sqref="I2:I34">
    <cfRule type="cellIs" dxfId="0" priority="2" operator="greaterThanOrEqual">
      <formula>1</formula>
    </cfRule>
  </conditionalFormatting>
  <hyperlinks>
    <hyperlink ref="A32" location="Leave!A1" display="STAFF ON LEAVE"/>
    <hyperlink ref="A33" location="Leave!A1" display="STAFF ON LEAVE"/>
    <hyperlink ref="A34" location="Leave!A1" display="STAFF ON LEAVE"/>
    <hyperlink ref="A2" location="'Room 1-Al 06'!A1" display="'Room 1-Al 06'!A1"/>
    <hyperlink ref="A3" location="'Room 2-Al 07'!A1" display="'Room 2-Al 07'!A1"/>
    <hyperlink ref="A4" location="'Room 3-Al-08'!A1" display="'Room 3-Al-08'!A1"/>
    <hyperlink ref="A5" location="'Room 4-Al 12'!A1" display="'Room 4-Al 12'!A1"/>
    <hyperlink ref="A6" location="'Room 5-Al 17'!A1" display="'Room 5-Al 17'!A1"/>
    <hyperlink ref="A7" location="'Room 6 -S 105'!A1" display="'Room 6 -S 105'!A1"/>
    <hyperlink ref="A8" location="'Room 7 -S 106'!A1" display="'Room 7 -S 106'!A1"/>
    <hyperlink ref="A9" location="'Room 8-S 107'!A1" display="'Room 8-S 107'!A1"/>
    <hyperlink ref="A10" location="'Room 9 -J 230'!A1" display="'Room 9 -J 230'!A1"/>
    <hyperlink ref="A11" location="'Room 10-J 237'!A1" display="'Room 10-J 237'!A1"/>
    <hyperlink ref="A12" location="'Room 11-J 242'!A1" display="'Room 11-J 242'!A1"/>
    <hyperlink ref="A13" location="'Room 12-S 108'!A1" display="'Room 12-S 108'!A1"/>
    <hyperlink ref="A14" location="'Room 13-S 109'!A1" display="'Room 13-S 109'!A1"/>
    <hyperlink ref="A15" location="'Room 14-S 72'!A1" display="'Room 14-S 72'!A1"/>
    <hyperlink ref="A16" location="'Room 15-S-73'!A1" display="'Room 15-S-73'!A1"/>
    <hyperlink ref="A17" location="'Room 16-S 24'!A1" display="'Room 16-S 24'!A1"/>
    <hyperlink ref="A18" location="'Room 17-S 25'!A1" display="'Room 17-S 25'!A1"/>
    <hyperlink ref="A19" location="'Room 18-S 26'!A1" display="'Room 18-S 26'!A1"/>
    <hyperlink ref="A20" location="'Room 19-S 27'!A1" display="'Room 19-S 27'!A1"/>
    <hyperlink ref="A21" location="'Room 20-S 33'!A1" display="'Room 20-S 33'!A1"/>
    <hyperlink ref="A22" location="'Room 21-Al gf 05'!A1" display="'Room 21-Al gf 05'!A1"/>
    <hyperlink ref="A23" location="'Room 22-Al gf-06'!A1" display="'Room 22-Al gf-06'!A1"/>
    <hyperlink ref="A24" location="'Room 23-J 134'!A1" display="'Room 23-J 134'!A1"/>
    <hyperlink ref="A25" location="'Room 24-AD Musaff-A12'!A1" display="'Room 24-AD Musaff-A12'!A1"/>
    <hyperlink ref="A26" location="'Room 25-S 79'!A1" display="'Room 25-S 79'!A1"/>
    <hyperlink ref="A27" location="'Room 26-S 80'!A1" display="'Room 26-S 80'!A1"/>
    <hyperlink ref="A28" location="'Room 27-J 306'!A1" display="'Room 27-J 306'!A1"/>
    <hyperlink ref="A29" location="'Room 28-Aj 01'!A1" display="'Room 28-Aj 01'!A1"/>
    <hyperlink ref="A30" location="'Room 29-Aj 02'!A1" display="'Room 29-Aj 02'!A1"/>
    <hyperlink ref="A31" location="'Room 30-Aj 03'!A1" display="'Room 30-Aj 03'!A1"/>
  </hyperlinks>
  <pageMargins left="0.75" right="0.75" top="1" bottom="1" header="0" footer="0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3:E19"/>
  <sheetViews>
    <sheetView workbookViewId="0">
      <selection activeCell="C28" sqref="C28"/>
    </sheetView>
  </sheetViews>
  <sheetFormatPr defaultColWidth="14.453125" defaultRowHeight="15" customHeight="1"/>
  <cols>
    <col min="1" max="1" width="33" customWidth="1"/>
    <col min="2" max="2" width="27.1796875" customWidth="1"/>
    <col min="3" max="3" width="28.54296875" customWidth="1"/>
    <col min="4" max="4" width="33" customWidth="1"/>
    <col min="5" max="5" width="28.1796875" customWidth="1"/>
  </cols>
  <sheetData>
    <row r="3" spans="1:5" ht="14.5">
      <c r="C3" s="15"/>
      <c r="D3" s="15"/>
      <c r="E3" s="15"/>
    </row>
    <row r="4" spans="1:5" ht="14.5">
      <c r="A4" s="16" t="s">
        <v>20</v>
      </c>
      <c r="C4" s="17" t="s">
        <v>11</v>
      </c>
      <c r="D4" s="17" t="s">
        <v>21</v>
      </c>
      <c r="E4" s="17" t="s">
        <v>12</v>
      </c>
    </row>
    <row r="5" spans="1:5" ht="14.5">
      <c r="C5" s="18"/>
      <c r="D5" s="18"/>
      <c r="E5" s="18"/>
    </row>
    <row r="6" spans="1:5" ht="14.5">
      <c r="A6" s="144" t="s">
        <v>22</v>
      </c>
      <c r="C6" s="18"/>
      <c r="D6" s="19" t="s">
        <v>22</v>
      </c>
      <c r="E6" s="20"/>
    </row>
    <row r="7" spans="1:5" ht="14.5">
      <c r="A7" s="144" t="s">
        <v>23</v>
      </c>
      <c r="C7" s="18"/>
      <c r="D7" s="19" t="s">
        <v>23</v>
      </c>
      <c r="E7" s="21"/>
    </row>
    <row r="8" spans="1:5" ht="14.5">
      <c r="A8" s="136" t="s">
        <v>345</v>
      </c>
      <c r="C8" s="18"/>
      <c r="D8" s="19" t="s">
        <v>257</v>
      </c>
      <c r="E8" s="21"/>
    </row>
    <row r="9" spans="1:5" ht="15" customHeight="1">
      <c r="A9" s="147" t="s">
        <v>343</v>
      </c>
      <c r="C9" s="18"/>
      <c r="D9" s="19"/>
      <c r="E9" s="21"/>
    </row>
    <row r="10" spans="1:5" ht="14.5">
      <c r="A10" s="147" t="s">
        <v>344</v>
      </c>
      <c r="C10" s="101"/>
      <c r="D10" s="19"/>
      <c r="E10" s="21"/>
    </row>
    <row r="11" spans="1:5" ht="14.5">
      <c r="A11" s="147" t="s">
        <v>346</v>
      </c>
      <c r="C11" s="141"/>
      <c r="D11" s="142"/>
      <c r="E11" s="141"/>
    </row>
    <row r="12" spans="1:5" ht="14.5">
      <c r="A12" s="146" t="s">
        <v>357</v>
      </c>
      <c r="B12" s="139"/>
      <c r="C12" s="141"/>
      <c r="D12" s="141"/>
      <c r="E12" s="141"/>
    </row>
    <row r="13" spans="1:5" ht="14.5">
      <c r="A13" s="116"/>
      <c r="C13" s="141"/>
      <c r="D13" s="141"/>
      <c r="E13" s="141"/>
    </row>
    <row r="14" spans="1:5" ht="14.5">
      <c r="C14" s="141"/>
      <c r="D14" s="141"/>
      <c r="E14" s="141"/>
    </row>
    <row r="15" spans="1:5" ht="14.5">
      <c r="A15" s="19"/>
      <c r="C15" s="141"/>
      <c r="D15" s="141"/>
      <c r="E15" s="141"/>
    </row>
    <row r="16" spans="1:5" ht="14.5">
      <c r="A16" s="19"/>
      <c r="C16" s="141"/>
      <c r="D16" s="141"/>
      <c r="E16" s="141"/>
    </row>
    <row r="17" spans="1:5" ht="14.5">
      <c r="A17" s="22"/>
      <c r="C17" s="141"/>
      <c r="D17" s="141"/>
      <c r="E17" s="141"/>
    </row>
    <row r="18" spans="1:5" ht="14.5">
      <c r="C18" s="141"/>
      <c r="D18" s="141"/>
      <c r="E18" s="141"/>
    </row>
    <row r="19" spans="1:5" ht="14.5">
      <c r="A19" s="23">
        <f>COUNTA(A6:A18)</f>
        <v>7</v>
      </c>
      <c r="C19" s="140">
        <f>COUNTA(C6:C18)</f>
        <v>0</v>
      </c>
      <c r="D19" s="140">
        <f>COUNTA(D6:D18)</f>
        <v>3</v>
      </c>
      <c r="E19" s="140">
        <f>COUNTA(E6:E18)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00"/>
  <sheetViews>
    <sheetView workbookViewId="0">
      <pane ySplit="1" topLeftCell="A2" activePane="bottomLeft" state="frozen"/>
      <selection pane="bottomLeft" activeCell="B3" sqref="B3"/>
    </sheetView>
  </sheetViews>
  <sheetFormatPr defaultColWidth="14.453125" defaultRowHeight="15" customHeight="1"/>
  <cols>
    <col min="1" max="1" width="6.26953125" customWidth="1"/>
    <col min="2" max="2" width="11.453125" customWidth="1"/>
    <col min="3" max="3" width="14.81640625" customWidth="1"/>
    <col min="4" max="4" width="13.26953125" customWidth="1"/>
    <col min="5" max="5" width="17.54296875" customWidth="1"/>
    <col min="6" max="7" width="20.7265625" customWidth="1"/>
    <col min="8" max="8" width="19.1796875" customWidth="1"/>
    <col min="9" max="27" width="8.7265625" customWidth="1"/>
  </cols>
  <sheetData>
    <row r="1" spans="1:27" ht="16.5" customHeight="1">
      <c r="A1" s="25" t="s">
        <v>24</v>
      </c>
      <c r="B1" s="25" t="s">
        <v>25</v>
      </c>
      <c r="C1" s="25" t="s">
        <v>26</v>
      </c>
      <c r="D1" s="25" t="s">
        <v>27</v>
      </c>
      <c r="E1" s="25" t="s">
        <v>28</v>
      </c>
      <c r="F1" s="26" t="s">
        <v>29</v>
      </c>
      <c r="G1" s="25" t="s">
        <v>30</v>
      </c>
      <c r="H1" s="25" t="s">
        <v>31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ht="16.5" customHeight="1">
      <c r="A2" s="27">
        <v>1</v>
      </c>
      <c r="B2" s="28"/>
      <c r="C2" s="28"/>
      <c r="D2" s="28"/>
      <c r="E2" s="28"/>
      <c r="F2" s="28"/>
      <c r="G2" s="28"/>
      <c r="H2" s="28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spans="1:27" ht="16.5" customHeight="1">
      <c r="A3" s="27">
        <v>2</v>
      </c>
      <c r="B3" s="28"/>
      <c r="C3" s="28"/>
      <c r="D3" s="28"/>
      <c r="E3" s="28"/>
      <c r="F3" s="28"/>
      <c r="G3" s="28"/>
      <c r="H3" s="28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spans="1:27" ht="16.5" customHeight="1">
      <c r="A4" s="27">
        <v>3</v>
      </c>
      <c r="B4" s="28"/>
      <c r="C4" s="28"/>
      <c r="D4" s="28"/>
      <c r="E4" s="28"/>
      <c r="F4" s="28"/>
      <c r="G4" s="28"/>
      <c r="H4" s="28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ht="16.5" customHeight="1">
      <c r="A5" s="27">
        <v>4</v>
      </c>
      <c r="B5" s="28"/>
      <c r="C5" s="28"/>
      <c r="D5" s="28"/>
      <c r="E5" s="28"/>
      <c r="F5" s="28"/>
      <c r="G5" s="28"/>
      <c r="H5" s="28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spans="1:27" ht="16.5" customHeight="1">
      <c r="A6" s="27">
        <v>5</v>
      </c>
      <c r="B6" s="28"/>
      <c r="C6" s="28"/>
      <c r="D6" s="28"/>
      <c r="E6" s="28"/>
      <c r="F6" s="28"/>
      <c r="G6" s="28"/>
      <c r="H6" s="28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ht="16.5" customHeight="1">
      <c r="A7" s="27">
        <v>6</v>
      </c>
      <c r="B7" s="28"/>
      <c r="C7" s="28"/>
      <c r="D7" s="28"/>
      <c r="E7" s="28"/>
      <c r="F7" s="28"/>
      <c r="G7" s="28"/>
      <c r="H7" s="28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spans="1:27" ht="16.5" customHeight="1">
      <c r="A8" s="27">
        <v>7</v>
      </c>
      <c r="B8" s="28"/>
      <c r="C8" s="28"/>
      <c r="D8" s="28"/>
      <c r="E8" s="28"/>
      <c r="F8" s="28"/>
      <c r="G8" s="28"/>
      <c r="H8" s="28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27" ht="16.5" customHeight="1">
      <c r="A9" s="27">
        <v>8</v>
      </c>
      <c r="B9" s="28"/>
      <c r="C9" s="28"/>
      <c r="D9" s="28"/>
      <c r="E9" s="28"/>
      <c r="F9" s="28"/>
      <c r="G9" s="28"/>
      <c r="H9" s="28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 ht="16.5" customHeight="1">
      <c r="A10" s="27">
        <v>9</v>
      </c>
      <c r="B10" s="28"/>
      <c r="C10" s="28"/>
      <c r="D10" s="28"/>
      <c r="E10" s="28"/>
      <c r="F10" s="28"/>
      <c r="G10" s="28"/>
      <c r="H10" s="28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ht="16.5" customHeight="1">
      <c r="A11" s="27">
        <v>10</v>
      </c>
      <c r="B11" s="28"/>
      <c r="C11" s="28"/>
      <c r="D11" s="28"/>
      <c r="E11" s="28"/>
      <c r="F11" s="28"/>
      <c r="G11" s="28"/>
      <c r="H11" s="28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27" ht="16.5" customHeight="1">
      <c r="A12" s="27">
        <v>11</v>
      </c>
      <c r="B12" s="28"/>
      <c r="C12" s="28"/>
      <c r="D12" s="28"/>
      <c r="E12" s="28"/>
      <c r="F12" s="28"/>
      <c r="G12" s="28"/>
      <c r="H12" s="28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ht="16.5" customHeight="1">
      <c r="A13" s="27">
        <v>12</v>
      </c>
      <c r="B13" s="28"/>
      <c r="C13" s="28"/>
      <c r="D13" s="28"/>
      <c r="E13" s="28"/>
      <c r="F13" s="28"/>
      <c r="G13" s="28"/>
      <c r="H13" s="28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 ht="16.5" customHeight="1">
      <c r="A14" s="27">
        <v>13</v>
      </c>
      <c r="B14" s="28"/>
      <c r="C14" s="28"/>
      <c r="D14" s="28"/>
      <c r="E14" s="28"/>
      <c r="F14" s="28"/>
      <c r="G14" s="28"/>
      <c r="H14" s="28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 ht="16.5" customHeight="1">
      <c r="A15" s="27">
        <v>14</v>
      </c>
      <c r="B15" s="28"/>
      <c r="C15" s="28"/>
      <c r="D15" s="28"/>
      <c r="E15" s="28"/>
      <c r="F15" s="28"/>
      <c r="G15" s="28"/>
      <c r="H15" s="28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 ht="16.5" customHeight="1">
      <c r="A16" s="27">
        <v>15</v>
      </c>
      <c r="B16" s="28"/>
      <c r="C16" s="28"/>
      <c r="D16" s="28"/>
      <c r="E16" s="28"/>
      <c r="F16" s="28"/>
      <c r="G16" s="28"/>
      <c r="H16" s="28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27" ht="16.5" customHeight="1">
      <c r="A17" s="27">
        <v>16</v>
      </c>
      <c r="B17" s="28"/>
      <c r="C17" s="28"/>
      <c r="D17" s="28"/>
      <c r="E17" s="28"/>
      <c r="F17" s="28"/>
      <c r="G17" s="28"/>
      <c r="H17" s="28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1:27" ht="16.5" customHeight="1">
      <c r="A18" s="27">
        <v>17</v>
      </c>
      <c r="B18" s="28"/>
      <c r="C18" s="28"/>
      <c r="D18" s="28"/>
      <c r="E18" s="28"/>
      <c r="F18" s="28"/>
      <c r="G18" s="28"/>
      <c r="H18" s="28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1:27" ht="16.5" customHeight="1">
      <c r="A19" s="27">
        <v>18</v>
      </c>
      <c r="B19" s="28"/>
      <c r="C19" s="28"/>
      <c r="D19" s="28"/>
      <c r="E19" s="28"/>
      <c r="F19" s="28"/>
      <c r="G19" s="28"/>
      <c r="H19" s="28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1:27" ht="16.5" customHeight="1">
      <c r="A20" s="27">
        <v>19</v>
      </c>
      <c r="B20" s="28"/>
      <c r="C20" s="28"/>
      <c r="D20" s="28"/>
      <c r="E20" s="28"/>
      <c r="F20" s="28"/>
      <c r="G20" s="28"/>
      <c r="H20" s="28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27" ht="16.5" customHeight="1">
      <c r="A21" s="27">
        <v>20</v>
      </c>
      <c r="B21" s="28"/>
      <c r="C21" s="28"/>
      <c r="D21" s="28"/>
      <c r="E21" s="28"/>
      <c r="F21" s="28"/>
      <c r="G21" s="28"/>
      <c r="H21" s="28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27" ht="16.5" customHeight="1">
      <c r="A22" s="27">
        <v>21</v>
      </c>
      <c r="B22" s="28"/>
      <c r="C22" s="28"/>
      <c r="D22" s="28"/>
      <c r="E22" s="28"/>
      <c r="F22" s="28"/>
      <c r="G22" s="28"/>
      <c r="H22" s="28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27" ht="16.5" customHeight="1">
      <c r="A23" s="27">
        <v>22</v>
      </c>
      <c r="B23" s="28"/>
      <c r="C23" s="28"/>
      <c r="D23" s="28"/>
      <c r="E23" s="28"/>
      <c r="F23" s="28"/>
      <c r="G23" s="28"/>
      <c r="H23" s="28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27" ht="16.5" customHeight="1">
      <c r="A24" s="27">
        <v>23</v>
      </c>
      <c r="B24" s="28"/>
      <c r="C24" s="28"/>
      <c r="D24" s="28"/>
      <c r="E24" s="28"/>
      <c r="F24" s="28"/>
      <c r="G24" s="28"/>
      <c r="H24" s="28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27" ht="16.5" customHeight="1">
      <c r="A25" s="27">
        <v>24</v>
      </c>
      <c r="B25" s="28"/>
      <c r="C25" s="28"/>
      <c r="D25" s="28"/>
      <c r="E25" s="28"/>
      <c r="F25" s="28"/>
      <c r="G25" s="28"/>
      <c r="H25" s="28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27" ht="16.5" customHeight="1">
      <c r="A26" s="29"/>
      <c r="B26" s="28"/>
      <c r="C26" s="28"/>
      <c r="D26" s="28"/>
      <c r="E26" s="28"/>
      <c r="F26" s="28"/>
      <c r="G26" s="28"/>
      <c r="H26" s="28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7" ht="16.5" customHeight="1">
      <c r="A27" s="30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27" ht="16.5" customHeight="1">
      <c r="A28" s="30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27" ht="16.5" customHeight="1">
      <c r="A29" s="30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27" ht="16.5" customHeight="1">
      <c r="A30" s="30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27" ht="16.5" customHeight="1">
      <c r="A31" s="30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27" ht="16.5" customHeight="1">
      <c r="A32" s="30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16.5" customHeight="1">
      <c r="A33" s="30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27" ht="16.5" customHeight="1">
      <c r="A34" s="30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ht="16.5" customHeight="1">
      <c r="A35" s="30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27" ht="16.5" customHeight="1">
      <c r="A36" s="30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1:27" ht="16.5" customHeight="1">
      <c r="A37" s="30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1:27" ht="16.5" customHeight="1">
      <c r="A38" s="30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1:27" ht="16.5" customHeight="1">
      <c r="A39" s="30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spans="1:27" ht="16.5" customHeight="1">
      <c r="A40" s="30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spans="1:27" ht="16.5" customHeight="1">
      <c r="A41" s="30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spans="1:27" ht="16.5" customHeight="1">
      <c r="A42" s="30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spans="1:27" ht="16.5" customHeight="1">
      <c r="A43" s="30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spans="1:27" ht="16.5" customHeight="1">
      <c r="A44" s="30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1:27" ht="16.5" customHeight="1">
      <c r="A45" s="30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1:27" ht="16.5" customHeight="1">
      <c r="A46" s="30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 ht="16.5" customHeight="1">
      <c r="A47" s="30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 ht="16.5" customHeight="1">
      <c r="A48" s="30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1:27" ht="16.5" customHeight="1">
      <c r="A49" s="30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 ht="16.5" customHeight="1">
      <c r="A50" s="30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1:27" ht="16.5" customHeight="1">
      <c r="A51" s="30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1:27" ht="16.5" customHeight="1">
      <c r="A52" s="30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 ht="16.5" customHeight="1">
      <c r="A53" s="30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1:27" ht="16.5" customHeight="1">
      <c r="A54" s="30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 ht="16.5" customHeight="1">
      <c r="A55" s="30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 ht="16.5" customHeight="1">
      <c r="A56" s="30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1:27" ht="16.5" customHeight="1">
      <c r="A57" s="30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1:27" ht="16.5" customHeight="1">
      <c r="A58" s="30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1:27" ht="16.5" customHeight="1">
      <c r="A59" s="30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1:27" ht="16.5" customHeight="1">
      <c r="A60" s="30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 ht="16.5" customHeight="1">
      <c r="A61" s="30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 ht="16.5" customHeight="1">
      <c r="A62" s="30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 ht="16.5" customHeight="1">
      <c r="A63" s="30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1:27" ht="16.5" customHeight="1">
      <c r="A64" s="30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1:27" ht="16.5" customHeight="1">
      <c r="A65" s="30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1:27" ht="16.5" customHeight="1">
      <c r="A66" s="30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1:27" ht="16.5" customHeight="1">
      <c r="A67" s="30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1:27" ht="16.5" customHeight="1">
      <c r="A68" s="30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 ht="16.5" customHeight="1">
      <c r="A69" s="30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 ht="16.5" customHeight="1">
      <c r="A70" s="30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 ht="16.5" customHeight="1">
      <c r="A71" s="30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1:27" ht="16.5" customHeight="1">
      <c r="A72" s="30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1:27" ht="16.5" customHeight="1">
      <c r="A73" s="30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 ht="16.5" customHeight="1">
      <c r="A74" s="30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1:27" ht="16.5" customHeight="1">
      <c r="A75" s="30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1:27" ht="16.5" customHeight="1">
      <c r="A76" s="30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1:27" ht="16.5" customHeight="1">
      <c r="A77" s="30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1:27" ht="16.5" customHeight="1">
      <c r="A78" s="30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1:27" ht="16.5" customHeight="1">
      <c r="A79" s="30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1:27" ht="16.5" customHeight="1">
      <c r="A80" s="30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1:27" ht="16.5" customHeight="1">
      <c r="A81" s="30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1:27" ht="16.5" customHeight="1">
      <c r="A82" s="30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1:27" ht="16.5" customHeight="1">
      <c r="A83" s="30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1:27" ht="16.5" customHeight="1">
      <c r="A84" s="30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1:27" ht="16.5" customHeight="1">
      <c r="A85" s="30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1:27" ht="16.5" customHeight="1">
      <c r="A86" s="30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1:27" ht="16.5" customHeight="1">
      <c r="A87" s="30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1:27" ht="16.5" customHeight="1">
      <c r="A88" s="30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1:27" ht="16.5" customHeight="1">
      <c r="A89" s="30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1:27" ht="16.5" customHeight="1">
      <c r="A90" s="30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1:27" ht="16.5" customHeight="1">
      <c r="A91" s="30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 ht="16.5" customHeight="1">
      <c r="A92" s="30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1:27" ht="16.5" customHeight="1">
      <c r="A93" s="30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spans="1:27" ht="16.5" customHeight="1">
      <c r="A94" s="30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1:27" ht="16.5" customHeight="1">
      <c r="A95" s="30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spans="1:27" ht="16.5" customHeight="1">
      <c r="A96" s="30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1:27" ht="16.5" customHeight="1">
      <c r="A97" s="30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1:27" ht="16.5" customHeight="1">
      <c r="A98" s="30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1:27" ht="16.5" customHeight="1">
      <c r="A99" s="30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1:27" ht="16.5" customHeight="1">
      <c r="A100" s="30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1:27" ht="16.5" customHeight="1">
      <c r="A101" s="30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1:27" ht="16.5" customHeight="1">
      <c r="A102" s="30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1:27" ht="16.5" customHeight="1">
      <c r="A103" s="30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1:27" ht="16.5" customHeight="1">
      <c r="A104" s="30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1:27" ht="16.5" customHeight="1">
      <c r="A105" s="30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1:27" ht="16.5" customHeight="1">
      <c r="A106" s="30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1:27" ht="16.5" customHeight="1">
      <c r="A107" s="30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1:27" ht="16.5" customHeight="1">
      <c r="A108" s="30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1:27" ht="16.5" customHeight="1">
      <c r="A109" s="30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1:27" ht="16.5" customHeight="1">
      <c r="A110" s="30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1:27" ht="16.5" customHeight="1">
      <c r="A111" s="30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1:27" ht="16.5" customHeight="1">
      <c r="A112" s="30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1:27" ht="16.5" customHeight="1">
      <c r="A113" s="30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27" ht="16.5" customHeight="1">
      <c r="A114" s="30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 ht="16.5" customHeight="1">
      <c r="A115" s="30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1:27" ht="16.5" customHeight="1">
      <c r="A116" s="30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1:27" ht="16.5" customHeight="1">
      <c r="A117" s="30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27" ht="16.5" customHeight="1">
      <c r="A118" s="30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27" ht="16.5" customHeight="1">
      <c r="A119" s="30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 ht="16.5" customHeight="1">
      <c r="A120" s="30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1:27" ht="16.5" customHeight="1">
      <c r="A121" s="30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27" ht="16.5" customHeight="1">
      <c r="A122" s="30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27" ht="16.5" customHeight="1">
      <c r="A123" s="30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 ht="16.5" customHeight="1">
      <c r="A124" s="30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 ht="16.5" customHeight="1">
      <c r="A125" s="30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27" ht="16.5" customHeight="1">
      <c r="A126" s="30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 ht="16.5" customHeight="1">
      <c r="A127" s="30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27" ht="16.5" customHeight="1">
      <c r="A128" s="30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27" ht="16.5" customHeight="1">
      <c r="A129" s="30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1:27" ht="16.5" customHeight="1">
      <c r="A130" s="30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 ht="16.5" customHeight="1">
      <c r="A131" s="30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1:27" ht="16.5" customHeight="1">
      <c r="A132" s="30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1:27" ht="16.5" customHeight="1">
      <c r="A133" s="30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1:27" ht="16.5" customHeight="1">
      <c r="A134" s="30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1:27" ht="16.5" customHeight="1">
      <c r="A135" s="30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1:27" ht="16.5" customHeight="1">
      <c r="A136" s="30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1:27" ht="16.5" customHeight="1">
      <c r="A137" s="30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1:27" ht="16.5" customHeight="1">
      <c r="A138" s="30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27" ht="16.5" customHeight="1">
      <c r="A139" s="30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 ht="16.5" customHeight="1">
      <c r="A140" s="30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27" ht="16.5" customHeight="1">
      <c r="A141" s="30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1:27" ht="16.5" customHeight="1">
      <c r="A142" s="30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1:27" ht="16.5" customHeight="1">
      <c r="A143" s="30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1:27" ht="16.5" customHeight="1">
      <c r="A144" s="30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1:27" ht="16.5" customHeight="1">
      <c r="A145" s="30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1:27" ht="16.5" customHeight="1">
      <c r="A146" s="30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1:27" ht="16.5" customHeight="1">
      <c r="A147" s="30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1:27" ht="16.5" customHeight="1">
      <c r="A148" s="30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1:27" ht="16.5" customHeight="1">
      <c r="A149" s="30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1:27" ht="16.5" customHeight="1">
      <c r="A150" s="30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1:27" ht="16.5" customHeight="1">
      <c r="A151" s="30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1:27" ht="16.5" customHeight="1">
      <c r="A152" s="30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1:27" ht="16.5" customHeight="1">
      <c r="A153" s="30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1:27" ht="16.5" customHeight="1">
      <c r="A154" s="30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1:27" ht="16.5" customHeight="1">
      <c r="A155" s="30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1:27" ht="16.5" customHeight="1">
      <c r="A156" s="30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1:27" ht="16.5" customHeight="1">
      <c r="A157" s="30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1:27" ht="16.5" customHeight="1">
      <c r="A158" s="30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1:27" ht="16.5" customHeight="1">
      <c r="A159" s="30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1:27" ht="16.5" customHeight="1">
      <c r="A160" s="30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1:27" ht="16.5" customHeight="1">
      <c r="A161" s="30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1:27" ht="16.5" customHeight="1">
      <c r="A162" s="30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1:27" ht="16.5" customHeight="1">
      <c r="A163" s="30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1:27" ht="16.5" customHeight="1">
      <c r="A164" s="30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1:27" ht="16.5" customHeight="1">
      <c r="A165" s="30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1:27" ht="16.5" customHeight="1">
      <c r="A166" s="30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1:27" ht="16.5" customHeight="1">
      <c r="A167" s="30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1:27" ht="16.5" customHeight="1">
      <c r="A168" s="30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1:27" ht="16.5" customHeight="1">
      <c r="A169" s="30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1:27" ht="16.5" customHeight="1">
      <c r="A170" s="30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1:27" ht="16.5" customHeight="1">
      <c r="A171" s="30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1:27" ht="16.5" customHeight="1">
      <c r="A172" s="30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1:27" ht="16.5" customHeight="1">
      <c r="A173" s="30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1:27" ht="16.5" customHeight="1">
      <c r="A174" s="30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1:27" ht="16.5" customHeight="1">
      <c r="A175" s="30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7" ht="16.5" customHeight="1">
      <c r="A176" s="30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1:27" ht="16.5" customHeight="1">
      <c r="A177" s="30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1:27" ht="16.5" customHeight="1">
      <c r="A178" s="30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1:27" ht="16.5" customHeight="1">
      <c r="A179" s="30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1:27" ht="16.5" customHeight="1">
      <c r="A180" s="30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7" ht="16.5" customHeight="1">
      <c r="A181" s="30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1:27" ht="16.5" customHeight="1">
      <c r="A182" s="30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1:27" ht="16.5" customHeight="1">
      <c r="A183" s="30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1:27" ht="16.5" customHeight="1">
      <c r="A184" s="30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1:27" ht="16.5" customHeight="1">
      <c r="A185" s="30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1:27" ht="16.5" customHeight="1">
      <c r="A186" s="30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1:27" ht="16.5" customHeight="1">
      <c r="A187" s="30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1:27" ht="16.5" customHeight="1">
      <c r="A188" s="30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1:27" ht="16.5" customHeight="1">
      <c r="A189" s="30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1:27" ht="16.5" customHeight="1">
      <c r="A190" s="30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1:27" ht="16.5" customHeight="1">
      <c r="A191" s="30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1:27" ht="16.5" customHeight="1">
      <c r="A192" s="30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1:27" ht="16.5" customHeight="1">
      <c r="A193" s="30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1:27" ht="16.5" customHeight="1">
      <c r="A194" s="30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1:27" ht="16.5" customHeight="1">
      <c r="A195" s="30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spans="1:27" ht="16.5" customHeight="1">
      <c r="A196" s="30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1:27" ht="16.5" customHeight="1">
      <c r="A197" s="30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1:27" ht="16.5" customHeight="1">
      <c r="A198" s="30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1:27" ht="16.5" customHeight="1">
      <c r="A199" s="30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1:27" ht="16.5" customHeight="1">
      <c r="A200" s="30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1:27" ht="16.5" customHeight="1">
      <c r="A201" s="30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1:27" ht="16.5" customHeight="1">
      <c r="A202" s="30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1:27" ht="16.5" customHeight="1">
      <c r="A203" s="30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spans="1:27" ht="16.5" customHeight="1">
      <c r="A204" s="30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spans="1:27" ht="16.5" customHeight="1">
      <c r="A205" s="30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spans="1:27" ht="16.5" customHeight="1">
      <c r="A206" s="30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spans="1:27" ht="16.5" customHeight="1">
      <c r="A207" s="30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spans="1:27" ht="16.5" customHeight="1">
      <c r="A208" s="30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spans="1:27" ht="16.5" customHeight="1">
      <c r="A209" s="30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spans="1:27" ht="16.5" customHeight="1">
      <c r="A210" s="30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spans="1:27" ht="16.5" customHeight="1">
      <c r="A211" s="30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spans="1:27" ht="16.5" customHeight="1">
      <c r="A212" s="30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spans="1:27" ht="16.5" customHeight="1">
      <c r="A213" s="30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spans="1:27" ht="16.5" customHeight="1">
      <c r="A214" s="30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spans="1:27" ht="16.5" customHeight="1">
      <c r="A215" s="30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spans="1:27" ht="16.5" customHeight="1">
      <c r="A216" s="30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spans="1:27" ht="16.5" customHeight="1">
      <c r="A217" s="30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spans="1:27" ht="16.5" customHeight="1">
      <c r="A218" s="30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spans="1:27" ht="16.5" customHeight="1">
      <c r="A219" s="30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spans="1:27" ht="16.5" customHeight="1">
      <c r="A220" s="30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spans="1:27" ht="16.5" customHeight="1">
      <c r="A221" s="30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spans="1:27" ht="16.5" customHeight="1">
      <c r="A222" s="30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spans="1:27" ht="16.5" customHeight="1">
      <c r="A223" s="30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spans="1:27" ht="16.5" customHeight="1">
      <c r="A224" s="30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spans="1:27" ht="16.5" customHeight="1">
      <c r="A225" s="30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spans="1:27" ht="16.5" customHeight="1">
      <c r="A226" s="30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spans="1:27" ht="16.5" customHeight="1">
      <c r="A227" s="30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spans="1:27" ht="16.5" customHeight="1">
      <c r="A228" s="30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spans="1:27" ht="16.5" customHeight="1">
      <c r="A229" s="30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spans="1:27" ht="16.5" customHeight="1">
      <c r="A230" s="30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spans="1:27" ht="16.5" customHeight="1">
      <c r="A231" s="30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spans="1:27" ht="16.5" customHeight="1">
      <c r="A232" s="30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spans="1:27" ht="16.5" customHeight="1">
      <c r="A233" s="30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spans="1:27" ht="16.5" customHeight="1">
      <c r="A234" s="30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spans="1:27" ht="16.5" customHeight="1">
      <c r="A235" s="30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spans="1:27" ht="16.5" customHeight="1">
      <c r="A236" s="30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spans="1:27" ht="16.5" customHeight="1">
      <c r="A237" s="30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spans="1:27" ht="16.5" customHeight="1">
      <c r="A238" s="30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spans="1:27" ht="16.5" customHeight="1">
      <c r="A239" s="30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spans="1:27" ht="16.5" customHeight="1">
      <c r="A240" s="30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spans="1:27" ht="16.5" customHeight="1">
      <c r="A241" s="30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spans="1:27" ht="16.5" customHeight="1">
      <c r="A242" s="30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spans="1:27" ht="16.5" customHeight="1">
      <c r="A243" s="30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spans="1:27" ht="16.5" customHeight="1">
      <c r="A244" s="30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spans="1:27" ht="16.5" customHeight="1">
      <c r="A245" s="30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spans="1:27" ht="16.5" customHeight="1">
      <c r="A246" s="30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spans="1:27" ht="16.5" customHeight="1">
      <c r="A247" s="30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spans="1:27" ht="16.5" customHeight="1">
      <c r="A248" s="30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spans="1:27" ht="16.5" customHeight="1">
      <c r="A249" s="30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spans="1:27" ht="16.5" customHeight="1">
      <c r="A250" s="30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spans="1:27" ht="16.5" customHeight="1">
      <c r="A251" s="30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spans="1:27" ht="16.5" customHeight="1">
      <c r="A252" s="30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spans="1:27" ht="16.5" customHeight="1">
      <c r="A253" s="30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spans="1:27" ht="16.5" customHeight="1">
      <c r="A254" s="30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spans="1:27" ht="16.5" customHeight="1">
      <c r="A255" s="30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spans="1:27" ht="16.5" customHeight="1">
      <c r="A256" s="30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spans="1:27" ht="16.5" customHeight="1">
      <c r="A257" s="30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spans="1:27" ht="16.5" customHeight="1">
      <c r="A258" s="30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spans="1:27" ht="16.5" customHeight="1">
      <c r="A259" s="30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spans="1:27" ht="16.5" customHeight="1">
      <c r="A260" s="30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spans="1:27" ht="16.5" customHeight="1">
      <c r="A261" s="30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spans="1:27" ht="16.5" customHeight="1">
      <c r="A262" s="30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spans="1:27" ht="16.5" customHeight="1">
      <c r="A263" s="30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spans="1:27" ht="16.5" customHeight="1">
      <c r="A264" s="30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spans="1:27" ht="16.5" customHeight="1">
      <c r="A265" s="30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spans="1:27" ht="16.5" customHeight="1">
      <c r="A266" s="30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spans="1:27" ht="16.5" customHeight="1">
      <c r="A267" s="30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spans="1:27" ht="16.5" customHeight="1">
      <c r="A268" s="30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spans="1:27" ht="16.5" customHeight="1">
      <c r="A269" s="30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spans="1:27" ht="16.5" customHeight="1">
      <c r="A270" s="30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spans="1:27" ht="16.5" customHeight="1">
      <c r="A271" s="30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spans="1:27" ht="16.5" customHeight="1">
      <c r="A272" s="30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spans="1:27" ht="16.5" customHeight="1">
      <c r="A273" s="30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spans="1:27" ht="16.5" customHeight="1">
      <c r="A274" s="30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spans="1:27" ht="16.5" customHeight="1">
      <c r="A275" s="30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spans="1:27" ht="16.5" customHeight="1">
      <c r="A276" s="30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spans="1:27" ht="16.5" customHeight="1">
      <c r="A277" s="30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spans="1:27" ht="16.5" customHeight="1">
      <c r="A278" s="30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spans="1:27" ht="16.5" customHeight="1">
      <c r="A279" s="30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spans="1:27" ht="16.5" customHeight="1">
      <c r="A280" s="30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spans="1:27" ht="16.5" customHeight="1">
      <c r="A281" s="30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spans="1:27" ht="16.5" customHeight="1">
      <c r="A282" s="30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spans="1:27" ht="16.5" customHeight="1">
      <c r="A283" s="30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spans="1:27" ht="16.5" customHeight="1">
      <c r="A284" s="30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spans="1:27" ht="16.5" customHeight="1">
      <c r="A285" s="30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spans="1:27" ht="16.5" customHeight="1">
      <c r="A286" s="30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spans="1:27" ht="16.5" customHeight="1">
      <c r="A287" s="30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spans="1:27" ht="16.5" customHeight="1">
      <c r="A288" s="30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spans="1:27" ht="16.5" customHeight="1">
      <c r="A289" s="30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spans="1:27" ht="16.5" customHeight="1">
      <c r="A290" s="30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spans="1:27" ht="16.5" customHeight="1">
      <c r="A291" s="30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spans="1:27" ht="16.5" customHeight="1">
      <c r="A292" s="30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spans="1:27" ht="16.5" customHeight="1">
      <c r="A293" s="30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spans="1:27" ht="16.5" customHeight="1">
      <c r="A294" s="30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spans="1:27" ht="16.5" customHeight="1">
      <c r="A295" s="30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spans="1:27" ht="16.5" customHeight="1">
      <c r="A296" s="30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spans="1:27" ht="16.5" customHeight="1">
      <c r="A297" s="30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spans="1:27" ht="16.5" customHeight="1">
      <c r="A298" s="30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spans="1:27" ht="16.5" customHeight="1">
      <c r="A299" s="30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spans="1:27" ht="16.5" customHeight="1">
      <c r="A300" s="30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spans="1:27" ht="16.5" customHeight="1">
      <c r="A301" s="30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spans="1:27" ht="16.5" customHeight="1">
      <c r="A302" s="30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spans="1:27" ht="16.5" customHeight="1">
      <c r="A303" s="30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spans="1:27" ht="16.5" customHeight="1">
      <c r="A304" s="30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spans="1:27" ht="16.5" customHeight="1">
      <c r="A305" s="30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spans="1:27" ht="16.5" customHeight="1">
      <c r="A306" s="30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spans="1:27" ht="16.5" customHeight="1">
      <c r="A307" s="30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spans="1:27" ht="16.5" customHeight="1">
      <c r="A308" s="30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spans="1:27" ht="16.5" customHeight="1">
      <c r="A309" s="30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spans="1:27" ht="16.5" customHeight="1">
      <c r="A310" s="30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spans="1:27" ht="16.5" customHeight="1">
      <c r="A311" s="30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spans="1:27" ht="16.5" customHeight="1">
      <c r="A312" s="30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spans="1:27" ht="16.5" customHeight="1">
      <c r="A313" s="30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spans="1:27" ht="16.5" customHeight="1">
      <c r="A314" s="30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spans="1:27" ht="16.5" customHeight="1">
      <c r="A315" s="30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spans="1:27" ht="16.5" customHeight="1">
      <c r="A316" s="30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spans="1:27" ht="16.5" customHeight="1">
      <c r="A317" s="30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spans="1:27" ht="16.5" customHeight="1">
      <c r="A318" s="30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spans="1:27" ht="16.5" customHeight="1">
      <c r="A319" s="30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spans="1:27" ht="16.5" customHeight="1">
      <c r="A320" s="30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spans="1:27" ht="16.5" customHeight="1">
      <c r="A321" s="30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spans="1:27" ht="16.5" customHeight="1">
      <c r="A322" s="30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spans="1:27" ht="16.5" customHeight="1">
      <c r="A323" s="30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spans="1:27" ht="16.5" customHeight="1">
      <c r="A324" s="30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spans="1:27" ht="16.5" customHeight="1">
      <c r="A325" s="30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spans="1:27" ht="16.5" customHeight="1">
      <c r="A326" s="30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spans="1:27" ht="16.5" customHeight="1">
      <c r="A327" s="30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spans="1:27" ht="16.5" customHeight="1">
      <c r="A328" s="30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spans="1:27" ht="16.5" customHeight="1">
      <c r="A329" s="30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spans="1:27" ht="16.5" customHeight="1">
      <c r="A330" s="30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spans="1:27" ht="16.5" customHeight="1">
      <c r="A331" s="30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spans="1:27" ht="16.5" customHeight="1">
      <c r="A332" s="30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spans="1:27" ht="16.5" customHeight="1">
      <c r="A333" s="30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spans="1:27" ht="16.5" customHeight="1">
      <c r="A334" s="30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spans="1:27" ht="16.5" customHeight="1">
      <c r="A335" s="30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spans="1:27" ht="16.5" customHeight="1">
      <c r="A336" s="30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spans="1:27" ht="16.5" customHeight="1">
      <c r="A337" s="30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spans="1:27" ht="16.5" customHeight="1">
      <c r="A338" s="30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spans="1:27" ht="16.5" customHeight="1">
      <c r="A339" s="30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spans="1:27" ht="16.5" customHeight="1">
      <c r="A340" s="30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spans="1:27" ht="16.5" customHeight="1">
      <c r="A341" s="30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spans="1:27" ht="16.5" customHeight="1">
      <c r="A342" s="30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spans="1:27" ht="16.5" customHeight="1">
      <c r="A343" s="30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spans="1:27" ht="16.5" customHeight="1">
      <c r="A344" s="30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spans="1:27" ht="16.5" customHeight="1">
      <c r="A345" s="30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spans="1:27" ht="16.5" customHeight="1">
      <c r="A346" s="30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spans="1:27" ht="16.5" customHeight="1">
      <c r="A347" s="30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spans="1:27" ht="16.5" customHeight="1">
      <c r="A348" s="30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spans="1:27" ht="16.5" customHeight="1">
      <c r="A349" s="30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spans="1:27" ht="16.5" customHeight="1">
      <c r="A350" s="30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spans="1:27" ht="16.5" customHeight="1">
      <c r="A351" s="30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spans="1:27" ht="16.5" customHeight="1">
      <c r="A352" s="30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spans="1:27" ht="16.5" customHeight="1">
      <c r="A353" s="30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spans="1:27" ht="16.5" customHeight="1">
      <c r="A354" s="30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spans="1:27" ht="16.5" customHeight="1">
      <c r="A355" s="30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spans="1:27" ht="16.5" customHeight="1">
      <c r="A356" s="30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spans="1:27" ht="16.5" customHeight="1">
      <c r="A357" s="30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spans="1:27" ht="16.5" customHeight="1">
      <c r="A358" s="30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spans="1:27" ht="16.5" customHeight="1">
      <c r="A359" s="30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spans="1:27" ht="16.5" customHeight="1">
      <c r="A360" s="30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spans="1:27" ht="16.5" customHeight="1">
      <c r="A361" s="30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spans="1:27" ht="16.5" customHeight="1">
      <c r="A362" s="30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spans="1:27" ht="16.5" customHeight="1">
      <c r="A363" s="30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spans="1:27" ht="16.5" customHeight="1">
      <c r="A364" s="30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spans="1:27" ht="16.5" customHeight="1">
      <c r="A365" s="30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spans="1:27" ht="16.5" customHeight="1">
      <c r="A366" s="30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spans="1:27" ht="16.5" customHeight="1">
      <c r="A367" s="30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spans="1:27" ht="16.5" customHeight="1">
      <c r="A368" s="30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spans="1:27" ht="16.5" customHeight="1">
      <c r="A369" s="30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spans="1:27" ht="16.5" customHeight="1">
      <c r="A370" s="30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spans="1:27" ht="16.5" customHeight="1">
      <c r="A371" s="30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spans="1:27" ht="16.5" customHeight="1">
      <c r="A372" s="30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spans="1:27" ht="16.5" customHeight="1">
      <c r="A373" s="30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spans="1:27" ht="16.5" customHeight="1">
      <c r="A374" s="30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spans="1:27" ht="16.5" customHeight="1">
      <c r="A375" s="30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spans="1:27" ht="16.5" customHeight="1">
      <c r="A376" s="30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spans="1:27" ht="16.5" customHeight="1">
      <c r="A377" s="30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spans="1:27" ht="16.5" customHeight="1">
      <c r="A378" s="30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spans="1:27" ht="16.5" customHeight="1">
      <c r="A379" s="30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spans="1:27" ht="16.5" customHeight="1">
      <c r="A380" s="30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spans="1:27" ht="16.5" customHeight="1">
      <c r="A381" s="30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spans="1:27" ht="16.5" customHeight="1">
      <c r="A382" s="30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spans="1:27" ht="16.5" customHeight="1">
      <c r="A383" s="30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spans="1:27" ht="16.5" customHeight="1">
      <c r="A384" s="30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spans="1:27" ht="16.5" customHeight="1">
      <c r="A385" s="30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spans="1:27" ht="16.5" customHeight="1">
      <c r="A386" s="30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spans="1:27" ht="16.5" customHeight="1">
      <c r="A387" s="30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spans="1:27" ht="16.5" customHeight="1">
      <c r="A388" s="30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spans="1:27" ht="16.5" customHeight="1">
      <c r="A389" s="30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spans="1:27" ht="16.5" customHeight="1">
      <c r="A390" s="30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spans="1:27" ht="16.5" customHeight="1">
      <c r="A391" s="30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spans="1:27" ht="16.5" customHeight="1">
      <c r="A392" s="30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spans="1:27" ht="16.5" customHeight="1">
      <c r="A393" s="30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spans="1:27" ht="16.5" customHeight="1">
      <c r="A394" s="30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spans="1:27" ht="16.5" customHeight="1">
      <c r="A395" s="30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spans="1:27" ht="16.5" customHeight="1">
      <c r="A396" s="30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spans="1:27" ht="16.5" customHeight="1">
      <c r="A397" s="30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spans="1:27" ht="16.5" customHeight="1">
      <c r="A398" s="30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spans="1:27" ht="16.5" customHeight="1">
      <c r="A399" s="30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spans="1:27" ht="16.5" customHeight="1">
      <c r="A400" s="30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spans="1:27" ht="16.5" customHeight="1">
      <c r="A401" s="30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spans="1:27" ht="16.5" customHeight="1">
      <c r="A402" s="30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spans="1:27" ht="16.5" customHeight="1">
      <c r="A403" s="30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spans="1:27" ht="16.5" customHeight="1">
      <c r="A404" s="30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spans="1:27" ht="16.5" customHeight="1">
      <c r="A405" s="30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spans="1:27" ht="16.5" customHeight="1">
      <c r="A406" s="30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spans="1:27" ht="16.5" customHeight="1">
      <c r="A407" s="30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spans="1:27" ht="16.5" customHeight="1">
      <c r="A408" s="30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spans="1:27" ht="16.5" customHeight="1">
      <c r="A409" s="30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spans="1:27" ht="16.5" customHeight="1">
      <c r="A410" s="30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spans="1:27" ht="16.5" customHeight="1">
      <c r="A411" s="30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spans="1:27" ht="16.5" customHeight="1">
      <c r="A412" s="30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spans="1:27" ht="16.5" customHeight="1">
      <c r="A413" s="30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spans="1:27" ht="16.5" customHeight="1">
      <c r="A414" s="30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spans="1:27" ht="16.5" customHeight="1">
      <c r="A415" s="30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spans="1:27" ht="16.5" customHeight="1">
      <c r="A416" s="30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spans="1:27" ht="16.5" customHeight="1">
      <c r="A417" s="30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spans="1:27" ht="16.5" customHeight="1">
      <c r="A418" s="30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spans="1:27" ht="16.5" customHeight="1">
      <c r="A419" s="30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spans="1:27" ht="16.5" customHeight="1">
      <c r="A420" s="30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spans="1:27" ht="16.5" customHeight="1">
      <c r="A421" s="30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spans="1:27" ht="16.5" customHeight="1">
      <c r="A422" s="30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spans="1:27" ht="16.5" customHeight="1">
      <c r="A423" s="30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spans="1:27" ht="16.5" customHeight="1">
      <c r="A424" s="30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spans="1:27" ht="16.5" customHeight="1">
      <c r="A425" s="30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spans="1:27" ht="16.5" customHeight="1">
      <c r="A426" s="30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spans="1:27" ht="16.5" customHeight="1">
      <c r="A427" s="30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spans="1:27" ht="16.5" customHeight="1">
      <c r="A428" s="30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spans="1:27" ht="16.5" customHeight="1">
      <c r="A429" s="30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spans="1:27" ht="16.5" customHeight="1">
      <c r="A430" s="30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spans="1:27" ht="16.5" customHeight="1">
      <c r="A431" s="30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spans="1:27" ht="16.5" customHeight="1">
      <c r="A432" s="30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spans="1:27" ht="16.5" customHeight="1">
      <c r="A433" s="30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spans="1:27" ht="16.5" customHeight="1">
      <c r="A434" s="30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spans="1:27" ht="16.5" customHeight="1">
      <c r="A435" s="30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spans="1:27" ht="16.5" customHeight="1">
      <c r="A436" s="30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spans="1:27" ht="16.5" customHeight="1">
      <c r="A437" s="30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spans="1:27" ht="16.5" customHeight="1">
      <c r="A438" s="30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spans="1:27" ht="16.5" customHeight="1">
      <c r="A439" s="30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spans="1:27" ht="16.5" customHeight="1">
      <c r="A440" s="30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spans="1:27" ht="16.5" customHeight="1">
      <c r="A441" s="30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spans="1:27" ht="16.5" customHeight="1">
      <c r="A442" s="30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spans="1:27" ht="16.5" customHeight="1">
      <c r="A443" s="30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spans="1:27" ht="16.5" customHeight="1">
      <c r="A444" s="30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spans="1:27" ht="16.5" customHeight="1">
      <c r="A445" s="30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spans="1:27" ht="16.5" customHeight="1">
      <c r="A446" s="30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spans="1:27" ht="16.5" customHeight="1">
      <c r="A447" s="30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spans="1:27" ht="16.5" customHeight="1">
      <c r="A448" s="30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spans="1:27" ht="16.5" customHeight="1">
      <c r="A449" s="30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spans="1:27" ht="16.5" customHeight="1">
      <c r="A450" s="30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spans="1:27" ht="16.5" customHeight="1">
      <c r="A451" s="30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spans="1:27" ht="16.5" customHeight="1">
      <c r="A452" s="30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spans="1:27" ht="16.5" customHeight="1">
      <c r="A453" s="30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spans="1:27" ht="16.5" customHeight="1">
      <c r="A454" s="30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spans="1:27" ht="16.5" customHeight="1">
      <c r="A455" s="30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spans="1:27" ht="16.5" customHeight="1">
      <c r="A456" s="30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spans="1:27" ht="16.5" customHeight="1">
      <c r="A457" s="30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spans="1:27" ht="16.5" customHeight="1">
      <c r="A458" s="30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spans="1:27" ht="16.5" customHeight="1">
      <c r="A459" s="30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spans="1:27" ht="16.5" customHeight="1">
      <c r="A460" s="30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spans="1:27" ht="16.5" customHeight="1">
      <c r="A461" s="30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spans="1:27" ht="16.5" customHeight="1">
      <c r="A462" s="30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spans="1:27" ht="16.5" customHeight="1">
      <c r="A463" s="30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spans="1:27" ht="16.5" customHeight="1">
      <c r="A464" s="30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spans="1:27" ht="16.5" customHeight="1">
      <c r="A465" s="30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spans="1:27" ht="16.5" customHeight="1">
      <c r="A466" s="30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spans="1:27" ht="16.5" customHeight="1">
      <c r="A467" s="30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spans="1:27" ht="16.5" customHeight="1">
      <c r="A468" s="30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spans="1:27" ht="16.5" customHeight="1">
      <c r="A469" s="30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spans="1:27" ht="16.5" customHeight="1">
      <c r="A470" s="30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spans="1:27" ht="16.5" customHeight="1">
      <c r="A471" s="30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spans="1:27" ht="16.5" customHeight="1">
      <c r="A472" s="30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spans="1:27" ht="16.5" customHeight="1">
      <c r="A473" s="30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spans="1:27" ht="16.5" customHeight="1">
      <c r="A474" s="30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spans="1:27" ht="16.5" customHeight="1">
      <c r="A475" s="30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spans="1:27" ht="16.5" customHeight="1">
      <c r="A476" s="30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spans="1:27" ht="16.5" customHeight="1">
      <c r="A477" s="30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spans="1:27" ht="16.5" customHeight="1">
      <c r="A478" s="30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spans="1:27" ht="16.5" customHeight="1">
      <c r="A479" s="30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spans="1:27" ht="16.5" customHeight="1">
      <c r="A480" s="30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spans="1:27" ht="16.5" customHeight="1">
      <c r="A481" s="30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spans="1:27" ht="16.5" customHeight="1">
      <c r="A482" s="30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spans="1:27" ht="16.5" customHeight="1">
      <c r="A483" s="30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spans="1:27" ht="16.5" customHeight="1">
      <c r="A484" s="30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spans="1:27" ht="16.5" customHeight="1">
      <c r="A485" s="30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spans="1:27" ht="16.5" customHeight="1">
      <c r="A486" s="30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spans="1:27" ht="16.5" customHeight="1">
      <c r="A487" s="30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spans="1:27" ht="16.5" customHeight="1">
      <c r="A488" s="30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spans="1:27" ht="16.5" customHeight="1">
      <c r="A489" s="30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spans="1:27" ht="16.5" customHeight="1">
      <c r="A490" s="30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spans="1:27" ht="16.5" customHeight="1">
      <c r="A491" s="30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spans="1:27" ht="16.5" customHeight="1">
      <c r="A492" s="30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spans="1:27" ht="16.5" customHeight="1">
      <c r="A493" s="30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spans="1:27" ht="16.5" customHeight="1">
      <c r="A494" s="30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spans="1:27" ht="16.5" customHeight="1">
      <c r="A495" s="30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spans="1:27" ht="16.5" customHeight="1">
      <c r="A496" s="30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spans="1:27" ht="16.5" customHeight="1">
      <c r="A497" s="30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spans="1:27" ht="16.5" customHeight="1">
      <c r="A498" s="30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spans="1:27" ht="16.5" customHeight="1">
      <c r="A499" s="30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spans="1:27" ht="16.5" customHeight="1">
      <c r="A500" s="30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spans="1:27" ht="16.5" customHeight="1">
      <c r="A501" s="30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spans="1:27" ht="16.5" customHeight="1">
      <c r="A502" s="30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spans="1:27" ht="16.5" customHeight="1">
      <c r="A503" s="30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spans="1:27" ht="16.5" customHeight="1">
      <c r="A504" s="30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spans="1:27" ht="16.5" customHeight="1">
      <c r="A505" s="30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spans="1:27" ht="16.5" customHeight="1">
      <c r="A506" s="30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spans="1:27" ht="16.5" customHeight="1">
      <c r="A507" s="30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spans="1:27" ht="16.5" customHeight="1">
      <c r="A508" s="30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spans="1:27" ht="16.5" customHeight="1">
      <c r="A509" s="30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spans="1:27" ht="16.5" customHeight="1">
      <c r="A510" s="30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spans="1:27" ht="16.5" customHeight="1">
      <c r="A511" s="30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spans="1:27" ht="16.5" customHeight="1">
      <c r="A512" s="30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spans="1:27" ht="16.5" customHeight="1">
      <c r="A513" s="30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spans="1:27" ht="16.5" customHeight="1">
      <c r="A514" s="30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spans="1:27" ht="16.5" customHeight="1">
      <c r="A515" s="30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spans="1:27" ht="16.5" customHeight="1">
      <c r="A516" s="30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spans="1:27" ht="16.5" customHeight="1">
      <c r="A517" s="30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spans="1:27" ht="16.5" customHeight="1">
      <c r="A518" s="30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spans="1:27" ht="16.5" customHeight="1">
      <c r="A519" s="30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spans="1:27" ht="16.5" customHeight="1">
      <c r="A520" s="30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spans="1:27" ht="16.5" customHeight="1">
      <c r="A521" s="30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spans="1:27" ht="16.5" customHeight="1">
      <c r="A522" s="30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spans="1:27" ht="16.5" customHeight="1">
      <c r="A523" s="30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spans="1:27" ht="16.5" customHeight="1">
      <c r="A524" s="30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spans="1:27" ht="16.5" customHeight="1">
      <c r="A525" s="30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spans="1:27" ht="16.5" customHeight="1">
      <c r="A526" s="30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spans="1:27" ht="16.5" customHeight="1">
      <c r="A527" s="30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spans="1:27" ht="16.5" customHeight="1">
      <c r="A528" s="30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spans="1:27" ht="16.5" customHeight="1">
      <c r="A529" s="30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spans="1:27" ht="16.5" customHeight="1">
      <c r="A530" s="30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spans="1:27" ht="16.5" customHeight="1">
      <c r="A531" s="30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spans="1:27" ht="16.5" customHeight="1">
      <c r="A532" s="30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spans="1:27" ht="16.5" customHeight="1">
      <c r="A533" s="30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spans="1:27" ht="16.5" customHeight="1">
      <c r="A534" s="30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spans="1:27" ht="16.5" customHeight="1">
      <c r="A535" s="30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spans="1:27" ht="16.5" customHeight="1">
      <c r="A536" s="30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spans="1:27" ht="16.5" customHeight="1">
      <c r="A537" s="30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spans="1:27" ht="16.5" customHeight="1">
      <c r="A538" s="30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spans="1:27" ht="16.5" customHeight="1">
      <c r="A539" s="30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spans="1:27" ht="16.5" customHeight="1">
      <c r="A540" s="30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spans="1:27" ht="16.5" customHeight="1">
      <c r="A541" s="30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spans="1:27" ht="16.5" customHeight="1">
      <c r="A542" s="30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spans="1:27" ht="16.5" customHeight="1">
      <c r="A543" s="30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spans="1:27" ht="16.5" customHeight="1">
      <c r="A544" s="30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spans="1:27" ht="16.5" customHeight="1">
      <c r="A545" s="30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spans="1:27" ht="16.5" customHeight="1">
      <c r="A546" s="30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spans="1:27" ht="16.5" customHeight="1">
      <c r="A547" s="30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spans="1:27" ht="16.5" customHeight="1">
      <c r="A548" s="30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spans="1:27" ht="16.5" customHeight="1">
      <c r="A549" s="30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spans="1:27" ht="16.5" customHeight="1">
      <c r="A550" s="30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spans="1:27" ht="16.5" customHeight="1">
      <c r="A551" s="30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spans="1:27" ht="16.5" customHeight="1">
      <c r="A552" s="30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spans="1:27" ht="16.5" customHeight="1">
      <c r="A553" s="30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spans="1:27" ht="16.5" customHeight="1">
      <c r="A554" s="30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spans="1:27" ht="16.5" customHeight="1">
      <c r="A555" s="30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spans="1:27" ht="16.5" customHeight="1">
      <c r="A556" s="30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spans="1:27" ht="16.5" customHeight="1">
      <c r="A557" s="30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spans="1:27" ht="16.5" customHeight="1">
      <c r="A558" s="30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spans="1:27" ht="16.5" customHeight="1">
      <c r="A559" s="30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spans="1:27" ht="16.5" customHeight="1">
      <c r="A560" s="30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spans="1:27" ht="16.5" customHeight="1">
      <c r="A561" s="30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spans="1:27" ht="16.5" customHeight="1">
      <c r="A562" s="30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spans="1:27" ht="16.5" customHeight="1">
      <c r="A563" s="30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spans="1:27" ht="16.5" customHeight="1">
      <c r="A564" s="30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spans="1:27" ht="16.5" customHeight="1">
      <c r="A565" s="30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spans="1:27" ht="16.5" customHeight="1">
      <c r="A566" s="30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spans="1:27" ht="16.5" customHeight="1">
      <c r="A567" s="30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spans="1:27" ht="16.5" customHeight="1">
      <c r="A568" s="30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spans="1:27" ht="16.5" customHeight="1">
      <c r="A569" s="30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spans="1:27" ht="16.5" customHeight="1">
      <c r="A570" s="30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spans="1:27" ht="16.5" customHeight="1">
      <c r="A571" s="30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spans="1:27" ht="16.5" customHeight="1">
      <c r="A572" s="30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spans="1:27" ht="16.5" customHeight="1">
      <c r="A573" s="30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spans="1:27" ht="16.5" customHeight="1">
      <c r="A574" s="30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spans="1:27" ht="16.5" customHeight="1">
      <c r="A575" s="30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spans="1:27" ht="16.5" customHeight="1">
      <c r="A576" s="30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spans="1:27" ht="16.5" customHeight="1">
      <c r="A577" s="30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spans="1:27" ht="16.5" customHeight="1">
      <c r="A578" s="30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spans="1:27" ht="16.5" customHeight="1">
      <c r="A579" s="30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spans="1:27" ht="16.5" customHeight="1">
      <c r="A580" s="30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spans="1:27" ht="16.5" customHeight="1">
      <c r="A581" s="30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spans="1:27" ht="16.5" customHeight="1">
      <c r="A582" s="30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spans="1:27" ht="16.5" customHeight="1">
      <c r="A583" s="30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spans="1:27" ht="16.5" customHeight="1">
      <c r="A584" s="30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spans="1:27" ht="16.5" customHeight="1">
      <c r="A585" s="30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spans="1:27" ht="16.5" customHeight="1">
      <c r="A586" s="30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spans="1:27" ht="16.5" customHeight="1">
      <c r="A587" s="30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spans="1:27" ht="16.5" customHeight="1">
      <c r="A588" s="30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spans="1:27" ht="16.5" customHeight="1">
      <c r="A589" s="30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spans="1:27" ht="16.5" customHeight="1">
      <c r="A590" s="30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spans="1:27" ht="16.5" customHeight="1">
      <c r="A591" s="30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spans="1:27" ht="16.5" customHeight="1">
      <c r="A592" s="30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spans="1:27" ht="16.5" customHeight="1">
      <c r="A593" s="30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spans="1:27" ht="16.5" customHeight="1">
      <c r="A594" s="30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spans="1:27" ht="16.5" customHeight="1">
      <c r="A595" s="30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spans="1:27" ht="16.5" customHeight="1">
      <c r="A596" s="30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spans="1:27" ht="16.5" customHeight="1">
      <c r="A597" s="30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spans="1:27" ht="16.5" customHeight="1">
      <c r="A598" s="30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spans="1:27" ht="16.5" customHeight="1">
      <c r="A599" s="30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spans="1:27" ht="16.5" customHeight="1">
      <c r="A600" s="30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spans="1:27" ht="16.5" customHeight="1">
      <c r="A601" s="30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spans="1:27" ht="16.5" customHeight="1">
      <c r="A602" s="30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spans="1:27" ht="16.5" customHeight="1">
      <c r="A603" s="30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spans="1:27" ht="16.5" customHeight="1">
      <c r="A604" s="30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spans="1:27" ht="16.5" customHeight="1">
      <c r="A605" s="30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spans="1:27" ht="16.5" customHeight="1">
      <c r="A606" s="30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spans="1:27" ht="16.5" customHeight="1">
      <c r="A607" s="30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spans="1:27" ht="16.5" customHeight="1">
      <c r="A608" s="30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spans="1:27" ht="16.5" customHeight="1">
      <c r="A609" s="30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spans="1:27" ht="16.5" customHeight="1">
      <c r="A610" s="30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spans="1:27" ht="16.5" customHeight="1">
      <c r="A611" s="30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spans="1:27" ht="16.5" customHeight="1">
      <c r="A612" s="30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spans="1:27" ht="16.5" customHeight="1">
      <c r="A613" s="30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spans="1:27" ht="16.5" customHeight="1">
      <c r="A614" s="30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spans="1:27" ht="16.5" customHeight="1">
      <c r="A615" s="30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spans="1:27" ht="16.5" customHeight="1">
      <c r="A616" s="30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spans="1:27" ht="16.5" customHeight="1">
      <c r="A617" s="30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spans="1:27" ht="16.5" customHeight="1">
      <c r="A618" s="30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spans="1:27" ht="16.5" customHeight="1">
      <c r="A619" s="30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spans="1:27" ht="16.5" customHeight="1">
      <c r="A620" s="30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spans="1:27" ht="16.5" customHeight="1">
      <c r="A621" s="30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spans="1:27" ht="16.5" customHeight="1">
      <c r="A622" s="30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spans="1:27" ht="16.5" customHeight="1">
      <c r="A623" s="30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spans="1:27" ht="16.5" customHeight="1">
      <c r="A624" s="30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spans="1:27" ht="16.5" customHeight="1">
      <c r="A625" s="30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spans="1:27" ht="16.5" customHeight="1">
      <c r="A626" s="30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spans="1:27" ht="16.5" customHeight="1">
      <c r="A627" s="30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spans="1:27" ht="16.5" customHeight="1">
      <c r="A628" s="30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spans="1:27" ht="16.5" customHeight="1">
      <c r="A629" s="30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spans="1:27" ht="16.5" customHeight="1">
      <c r="A630" s="30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spans="1:27" ht="16.5" customHeight="1">
      <c r="A631" s="30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spans="1:27" ht="16.5" customHeight="1">
      <c r="A632" s="30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spans="1:27" ht="16.5" customHeight="1">
      <c r="A633" s="30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spans="1:27" ht="16.5" customHeight="1">
      <c r="A634" s="30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spans="1:27" ht="16.5" customHeight="1">
      <c r="A635" s="30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spans="1:27" ht="16.5" customHeight="1">
      <c r="A636" s="30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spans="1:27" ht="16.5" customHeight="1">
      <c r="A637" s="30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spans="1:27" ht="16.5" customHeight="1">
      <c r="A638" s="30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spans="1:27" ht="16.5" customHeight="1">
      <c r="A639" s="30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spans="1:27" ht="16.5" customHeight="1">
      <c r="A640" s="30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spans="1:27" ht="16.5" customHeight="1">
      <c r="A641" s="30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spans="1:27" ht="16.5" customHeight="1">
      <c r="A642" s="30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spans="1:27" ht="16.5" customHeight="1">
      <c r="A643" s="30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spans="1:27" ht="16.5" customHeight="1">
      <c r="A644" s="30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spans="1:27" ht="16.5" customHeight="1">
      <c r="A645" s="30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spans="1:27" ht="16.5" customHeight="1">
      <c r="A646" s="30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spans="1:27" ht="16.5" customHeight="1">
      <c r="A647" s="30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spans="1:27" ht="16.5" customHeight="1">
      <c r="A648" s="30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spans="1:27" ht="16.5" customHeight="1">
      <c r="A649" s="30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spans="1:27" ht="16.5" customHeight="1">
      <c r="A650" s="30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spans="1:27" ht="16.5" customHeight="1">
      <c r="A651" s="30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spans="1:27" ht="16.5" customHeight="1">
      <c r="A652" s="30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spans="1:27" ht="16.5" customHeight="1">
      <c r="A653" s="30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spans="1:27" ht="16.5" customHeight="1">
      <c r="A654" s="30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spans="1:27" ht="16.5" customHeight="1">
      <c r="A655" s="30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spans="1:27" ht="16.5" customHeight="1">
      <c r="A656" s="30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spans="1:27" ht="16.5" customHeight="1">
      <c r="A657" s="30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spans="1:27" ht="16.5" customHeight="1">
      <c r="A658" s="30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spans="1:27" ht="16.5" customHeight="1">
      <c r="A659" s="30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spans="1:27" ht="16.5" customHeight="1">
      <c r="A660" s="30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spans="1:27" ht="16.5" customHeight="1">
      <c r="A661" s="30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spans="1:27" ht="16.5" customHeight="1">
      <c r="A662" s="30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spans="1:27" ht="16.5" customHeight="1">
      <c r="A663" s="30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spans="1:27" ht="16.5" customHeight="1">
      <c r="A664" s="30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spans="1:27" ht="16.5" customHeight="1">
      <c r="A665" s="30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spans="1:27" ht="16.5" customHeight="1">
      <c r="A666" s="30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spans="1:27" ht="16.5" customHeight="1">
      <c r="A667" s="30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spans="1:27" ht="16.5" customHeight="1">
      <c r="A668" s="30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spans="1:27" ht="16.5" customHeight="1">
      <c r="A669" s="30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spans="1:27" ht="16.5" customHeight="1">
      <c r="A670" s="30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spans="1:27" ht="16.5" customHeight="1">
      <c r="A671" s="30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spans="1:27" ht="16.5" customHeight="1">
      <c r="A672" s="30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spans="1:27" ht="16.5" customHeight="1">
      <c r="A673" s="30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spans="1:27" ht="16.5" customHeight="1">
      <c r="A674" s="30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spans="1:27" ht="16.5" customHeight="1">
      <c r="A675" s="30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spans="1:27" ht="16.5" customHeight="1">
      <c r="A676" s="30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spans="1:27" ht="16.5" customHeight="1">
      <c r="A677" s="30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spans="1:27" ht="16.5" customHeight="1">
      <c r="A678" s="30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spans="1:27" ht="16.5" customHeight="1">
      <c r="A679" s="30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spans="1:27" ht="16.5" customHeight="1">
      <c r="A680" s="30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spans="1:27" ht="16.5" customHeight="1">
      <c r="A681" s="30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spans="1:27" ht="16.5" customHeight="1">
      <c r="A682" s="30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spans="1:27" ht="16.5" customHeight="1">
      <c r="A683" s="30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spans="1:27" ht="16.5" customHeight="1">
      <c r="A684" s="30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spans="1:27" ht="16.5" customHeight="1">
      <c r="A685" s="30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spans="1:27" ht="16.5" customHeight="1">
      <c r="A686" s="30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spans="1:27" ht="16.5" customHeight="1">
      <c r="A687" s="30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spans="1:27" ht="16.5" customHeight="1">
      <c r="A688" s="30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spans="1:27" ht="16.5" customHeight="1">
      <c r="A689" s="30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spans="1:27" ht="16.5" customHeight="1">
      <c r="A690" s="30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spans="1:27" ht="16.5" customHeight="1">
      <c r="A691" s="30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spans="1:27" ht="16.5" customHeight="1">
      <c r="A692" s="30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spans="1:27" ht="16.5" customHeight="1">
      <c r="A693" s="30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spans="1:27" ht="16.5" customHeight="1">
      <c r="A694" s="30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spans="1:27" ht="16.5" customHeight="1">
      <c r="A695" s="30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spans="1:27" ht="16.5" customHeight="1">
      <c r="A696" s="30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spans="1:27" ht="16.5" customHeight="1">
      <c r="A697" s="30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spans="1:27" ht="16.5" customHeight="1">
      <c r="A698" s="30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spans="1:27" ht="16.5" customHeight="1">
      <c r="A699" s="30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spans="1:27" ht="16.5" customHeight="1">
      <c r="A700" s="30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spans="1:27" ht="16.5" customHeight="1">
      <c r="A701" s="30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spans="1:27" ht="16.5" customHeight="1">
      <c r="A702" s="30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spans="1:27" ht="16.5" customHeight="1">
      <c r="A703" s="30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spans="1:27" ht="16.5" customHeight="1">
      <c r="A704" s="30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spans="1:27" ht="16.5" customHeight="1">
      <c r="A705" s="30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spans="1:27" ht="16.5" customHeight="1">
      <c r="A706" s="30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spans="1:27" ht="16.5" customHeight="1">
      <c r="A707" s="30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spans="1:27" ht="16.5" customHeight="1">
      <c r="A708" s="30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spans="1:27" ht="16.5" customHeight="1">
      <c r="A709" s="30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spans="1:27" ht="16.5" customHeight="1">
      <c r="A710" s="30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spans="1:27" ht="16.5" customHeight="1">
      <c r="A711" s="30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spans="1:27" ht="16.5" customHeight="1">
      <c r="A712" s="30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spans="1:27" ht="16.5" customHeight="1">
      <c r="A713" s="30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spans="1:27" ht="16.5" customHeight="1">
      <c r="A714" s="30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spans="1:27" ht="16.5" customHeight="1">
      <c r="A715" s="30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spans="1:27" ht="16.5" customHeight="1">
      <c r="A716" s="30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spans="1:27" ht="16.5" customHeight="1">
      <c r="A717" s="30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spans="1:27" ht="16.5" customHeight="1">
      <c r="A718" s="30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spans="1:27" ht="16.5" customHeight="1">
      <c r="A719" s="30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spans="1:27" ht="16.5" customHeight="1">
      <c r="A720" s="30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spans="1:27" ht="16.5" customHeight="1">
      <c r="A721" s="30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spans="1:27" ht="16.5" customHeight="1">
      <c r="A722" s="30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spans="1:27" ht="16.5" customHeight="1">
      <c r="A723" s="30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spans="1:27" ht="16.5" customHeight="1">
      <c r="A724" s="30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spans="1:27" ht="16.5" customHeight="1">
      <c r="A725" s="30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spans="1:27" ht="16.5" customHeight="1">
      <c r="A726" s="30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spans="1:27" ht="16.5" customHeight="1">
      <c r="A727" s="30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spans="1:27" ht="16.5" customHeight="1">
      <c r="A728" s="30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spans="1:27" ht="16.5" customHeight="1">
      <c r="A729" s="30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spans="1:27" ht="16.5" customHeight="1">
      <c r="A730" s="30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spans="1:27" ht="16.5" customHeight="1">
      <c r="A731" s="30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spans="1:27" ht="16.5" customHeight="1">
      <c r="A732" s="30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spans="1:27" ht="16.5" customHeight="1">
      <c r="A733" s="30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spans="1:27" ht="16.5" customHeight="1">
      <c r="A734" s="30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spans="1:27" ht="16.5" customHeight="1">
      <c r="A735" s="30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spans="1:27" ht="16.5" customHeight="1">
      <c r="A736" s="30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spans="1:27" ht="16.5" customHeight="1">
      <c r="A737" s="30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spans="1:27" ht="16.5" customHeight="1">
      <c r="A738" s="30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spans="1:27" ht="16.5" customHeight="1">
      <c r="A739" s="30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spans="1:27" ht="16.5" customHeight="1">
      <c r="A740" s="30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spans="1:27" ht="16.5" customHeight="1">
      <c r="A741" s="30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spans="1:27" ht="16.5" customHeight="1">
      <c r="A742" s="30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spans="1:27" ht="16.5" customHeight="1">
      <c r="A743" s="30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spans="1:27" ht="16.5" customHeight="1">
      <c r="A744" s="30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spans="1:27" ht="16.5" customHeight="1">
      <c r="A745" s="30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spans="1:27" ht="16.5" customHeight="1">
      <c r="A746" s="30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spans="1:27" ht="16.5" customHeight="1">
      <c r="A747" s="30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spans="1:27" ht="16.5" customHeight="1">
      <c r="A748" s="30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spans="1:27" ht="16.5" customHeight="1">
      <c r="A749" s="30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spans="1:27" ht="16.5" customHeight="1">
      <c r="A750" s="30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spans="1:27" ht="16.5" customHeight="1">
      <c r="A751" s="30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spans="1:27" ht="16.5" customHeight="1">
      <c r="A752" s="30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spans="1:27" ht="16.5" customHeight="1">
      <c r="A753" s="30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spans="1:27" ht="16.5" customHeight="1">
      <c r="A754" s="30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spans="1:27" ht="16.5" customHeight="1">
      <c r="A755" s="30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spans="1:27" ht="16.5" customHeight="1">
      <c r="A756" s="30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spans="1:27" ht="16.5" customHeight="1">
      <c r="A757" s="30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spans="1:27" ht="16.5" customHeight="1">
      <c r="A758" s="30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spans="1:27" ht="16.5" customHeight="1">
      <c r="A759" s="30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spans="1:27" ht="16.5" customHeight="1">
      <c r="A760" s="30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spans="1:27" ht="16.5" customHeight="1">
      <c r="A761" s="30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spans="1:27" ht="16.5" customHeight="1">
      <c r="A762" s="30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spans="1:27" ht="16.5" customHeight="1">
      <c r="A763" s="30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spans="1:27" ht="16.5" customHeight="1">
      <c r="A764" s="30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spans="1:27" ht="16.5" customHeight="1">
      <c r="A765" s="30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spans="1:27" ht="16.5" customHeight="1">
      <c r="A766" s="30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spans="1:27" ht="16.5" customHeight="1">
      <c r="A767" s="30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spans="1:27" ht="16.5" customHeight="1">
      <c r="A768" s="30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spans="1:27" ht="16.5" customHeight="1">
      <c r="A769" s="30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spans="1:27" ht="16.5" customHeight="1">
      <c r="A770" s="30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spans="1:27" ht="16.5" customHeight="1">
      <c r="A771" s="30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spans="1:27" ht="16.5" customHeight="1">
      <c r="A772" s="30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spans="1:27" ht="16.5" customHeight="1">
      <c r="A773" s="30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spans="1:27" ht="16.5" customHeight="1">
      <c r="A774" s="30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spans="1:27" ht="16.5" customHeight="1">
      <c r="A775" s="30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spans="1:27" ht="16.5" customHeight="1">
      <c r="A776" s="30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spans="1:27" ht="16.5" customHeight="1">
      <c r="A777" s="30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spans="1:27" ht="16.5" customHeight="1">
      <c r="A778" s="30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spans="1:27" ht="16.5" customHeight="1">
      <c r="A779" s="30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spans="1:27" ht="16.5" customHeight="1">
      <c r="A780" s="30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spans="1:27" ht="16.5" customHeight="1">
      <c r="A781" s="30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spans="1:27" ht="16.5" customHeight="1">
      <c r="A782" s="30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spans="1:27" ht="16.5" customHeight="1">
      <c r="A783" s="30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spans="1:27" ht="16.5" customHeight="1">
      <c r="A784" s="30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spans="1:27" ht="16.5" customHeight="1">
      <c r="A785" s="30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spans="1:27" ht="16.5" customHeight="1">
      <c r="A786" s="30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spans="1:27" ht="16.5" customHeight="1">
      <c r="A787" s="30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spans="1:27" ht="16.5" customHeight="1">
      <c r="A788" s="30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spans="1:27" ht="16.5" customHeight="1">
      <c r="A789" s="30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spans="1:27" ht="16.5" customHeight="1">
      <c r="A790" s="30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spans="1:27" ht="16.5" customHeight="1">
      <c r="A791" s="30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spans="1:27" ht="16.5" customHeight="1">
      <c r="A792" s="30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spans="1:27" ht="16.5" customHeight="1">
      <c r="A793" s="30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spans="1:27" ht="16.5" customHeight="1">
      <c r="A794" s="30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spans="1:27" ht="16.5" customHeight="1">
      <c r="A795" s="30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spans="1:27" ht="16.5" customHeight="1">
      <c r="A796" s="30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spans="1:27" ht="16.5" customHeight="1">
      <c r="A797" s="30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spans="1:27" ht="16.5" customHeight="1">
      <c r="A798" s="30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spans="1:27" ht="16.5" customHeight="1">
      <c r="A799" s="30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spans="1:27" ht="16.5" customHeight="1">
      <c r="A800" s="30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spans="1:27" ht="16.5" customHeight="1">
      <c r="A801" s="30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spans="1:27" ht="16.5" customHeight="1">
      <c r="A802" s="30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spans="1:27" ht="16.5" customHeight="1">
      <c r="A803" s="30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spans="1:27" ht="16.5" customHeight="1">
      <c r="A804" s="30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spans="1:27" ht="16.5" customHeight="1">
      <c r="A805" s="30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spans="1:27" ht="16.5" customHeight="1">
      <c r="A806" s="30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spans="1:27" ht="16.5" customHeight="1">
      <c r="A807" s="30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spans="1:27" ht="16.5" customHeight="1">
      <c r="A808" s="30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spans="1:27" ht="16.5" customHeight="1">
      <c r="A809" s="30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spans="1:27" ht="16.5" customHeight="1">
      <c r="A810" s="30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spans="1:27" ht="16.5" customHeight="1">
      <c r="A811" s="30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spans="1:27" ht="16.5" customHeight="1">
      <c r="A812" s="30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spans="1:27" ht="16.5" customHeight="1">
      <c r="A813" s="30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spans="1:27" ht="16.5" customHeight="1">
      <c r="A814" s="30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spans="1:27" ht="16.5" customHeight="1">
      <c r="A815" s="30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spans="1:27" ht="16.5" customHeight="1">
      <c r="A816" s="30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spans="1:27" ht="16.5" customHeight="1">
      <c r="A817" s="30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spans="1:27" ht="16.5" customHeight="1">
      <c r="A818" s="30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spans="1:27" ht="16.5" customHeight="1">
      <c r="A819" s="30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spans="1:27" ht="16.5" customHeight="1">
      <c r="A820" s="30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spans="1:27" ht="16.5" customHeight="1">
      <c r="A821" s="30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spans="1:27" ht="16.5" customHeight="1">
      <c r="A822" s="30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spans="1:27" ht="16.5" customHeight="1">
      <c r="A823" s="30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spans="1:27" ht="16.5" customHeight="1">
      <c r="A824" s="30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spans="1:27" ht="16.5" customHeight="1">
      <c r="A825" s="30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spans="1:27" ht="16.5" customHeight="1">
      <c r="A826" s="30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spans="1:27" ht="16.5" customHeight="1">
      <c r="A827" s="30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spans="1:27" ht="16.5" customHeight="1">
      <c r="A828" s="30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spans="1:27" ht="16.5" customHeight="1">
      <c r="A829" s="30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spans="1:27" ht="16.5" customHeight="1">
      <c r="A830" s="30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spans="1:27" ht="16.5" customHeight="1">
      <c r="A831" s="30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spans="1:27" ht="16.5" customHeight="1">
      <c r="A832" s="30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spans="1:27" ht="16.5" customHeight="1">
      <c r="A833" s="30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spans="1:27" ht="16.5" customHeight="1">
      <c r="A834" s="30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spans="1:27" ht="16.5" customHeight="1">
      <c r="A835" s="30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spans="1:27" ht="16.5" customHeight="1">
      <c r="A836" s="30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spans="1:27" ht="16.5" customHeight="1">
      <c r="A837" s="30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spans="1:27" ht="16.5" customHeight="1">
      <c r="A838" s="30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spans="1:27" ht="16.5" customHeight="1">
      <c r="A839" s="30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spans="1:27" ht="16.5" customHeight="1">
      <c r="A840" s="30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spans="1:27" ht="16.5" customHeight="1">
      <c r="A841" s="30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spans="1:27" ht="16.5" customHeight="1">
      <c r="A842" s="30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spans="1:27" ht="16.5" customHeight="1">
      <c r="A843" s="30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spans="1:27" ht="16.5" customHeight="1">
      <c r="A844" s="30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spans="1:27" ht="16.5" customHeight="1">
      <c r="A845" s="30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spans="1:27" ht="16.5" customHeight="1">
      <c r="A846" s="30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spans="1:27" ht="16.5" customHeight="1">
      <c r="A847" s="30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spans="1:27" ht="16.5" customHeight="1">
      <c r="A848" s="30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spans="1:27" ht="16.5" customHeight="1">
      <c r="A849" s="30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spans="1:27" ht="16.5" customHeight="1">
      <c r="A850" s="30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spans="1:27" ht="16.5" customHeight="1">
      <c r="A851" s="30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spans="1:27" ht="16.5" customHeight="1">
      <c r="A852" s="30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spans="1:27" ht="16.5" customHeight="1">
      <c r="A853" s="30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spans="1:27" ht="16.5" customHeight="1">
      <c r="A854" s="30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spans="1:27" ht="16.5" customHeight="1">
      <c r="A855" s="30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spans="1:27" ht="16.5" customHeight="1">
      <c r="A856" s="30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spans="1:27" ht="16.5" customHeight="1">
      <c r="A857" s="30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spans="1:27" ht="16.5" customHeight="1">
      <c r="A858" s="30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spans="1:27" ht="16.5" customHeight="1">
      <c r="A859" s="30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spans="1:27" ht="16.5" customHeight="1">
      <c r="A860" s="30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spans="1:27" ht="16.5" customHeight="1">
      <c r="A861" s="30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spans="1:27" ht="16.5" customHeight="1">
      <c r="A862" s="30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spans="1:27" ht="16.5" customHeight="1">
      <c r="A863" s="30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spans="1:27" ht="16.5" customHeight="1">
      <c r="A864" s="30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spans="1:27" ht="16.5" customHeight="1">
      <c r="A865" s="30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spans="1:27" ht="16.5" customHeight="1">
      <c r="A866" s="30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spans="1:27" ht="16.5" customHeight="1">
      <c r="A867" s="30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spans="1:27" ht="16.5" customHeight="1">
      <c r="A868" s="30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spans="1:27" ht="16.5" customHeight="1">
      <c r="A869" s="30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spans="1:27" ht="16.5" customHeight="1">
      <c r="A870" s="30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spans="1:27" ht="16.5" customHeight="1">
      <c r="A871" s="30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spans="1:27" ht="16.5" customHeight="1">
      <c r="A872" s="30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spans="1:27" ht="16.5" customHeight="1">
      <c r="A873" s="30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spans="1:27" ht="16.5" customHeight="1">
      <c r="A874" s="30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spans="1:27" ht="16.5" customHeight="1">
      <c r="A875" s="30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spans="1:27" ht="16.5" customHeight="1">
      <c r="A876" s="30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spans="1:27" ht="16.5" customHeight="1">
      <c r="A877" s="30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spans="1:27" ht="16.5" customHeight="1">
      <c r="A878" s="30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spans="1:27" ht="16.5" customHeight="1">
      <c r="A879" s="30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spans="1:27" ht="16.5" customHeight="1">
      <c r="A880" s="30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spans="1:27" ht="16.5" customHeight="1">
      <c r="A881" s="30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spans="1:27" ht="16.5" customHeight="1">
      <c r="A882" s="30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spans="1:27" ht="16.5" customHeight="1">
      <c r="A883" s="30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spans="1:27" ht="16.5" customHeight="1">
      <c r="A884" s="30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spans="1:27" ht="16.5" customHeight="1">
      <c r="A885" s="30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spans="1:27" ht="16.5" customHeight="1">
      <c r="A886" s="30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spans="1:27" ht="16.5" customHeight="1">
      <c r="A887" s="30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spans="1:27" ht="16.5" customHeight="1">
      <c r="A888" s="30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spans="1:27" ht="16.5" customHeight="1">
      <c r="A889" s="30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spans="1:27" ht="16.5" customHeight="1">
      <c r="A890" s="30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spans="1:27" ht="16.5" customHeight="1">
      <c r="A891" s="30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spans="1:27" ht="16.5" customHeight="1">
      <c r="A892" s="30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spans="1:27" ht="16.5" customHeight="1">
      <c r="A893" s="30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spans="1:27" ht="16.5" customHeight="1">
      <c r="A894" s="30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spans="1:27" ht="16.5" customHeight="1">
      <c r="A895" s="30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spans="1:27" ht="16.5" customHeight="1">
      <c r="A896" s="30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spans="1:27" ht="16.5" customHeight="1">
      <c r="A897" s="30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spans="1:27" ht="16.5" customHeight="1">
      <c r="A898" s="30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spans="1:27" ht="16.5" customHeight="1">
      <c r="A899" s="30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spans="1:27" ht="16.5" customHeight="1">
      <c r="A900" s="30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spans="1:27" ht="16.5" customHeight="1">
      <c r="A901" s="30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spans="1:27" ht="16.5" customHeight="1">
      <c r="A902" s="30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spans="1:27" ht="16.5" customHeight="1">
      <c r="A903" s="30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spans="1:27" ht="16.5" customHeight="1">
      <c r="A904" s="30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spans="1:27" ht="16.5" customHeight="1">
      <c r="A905" s="30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spans="1:27" ht="16.5" customHeight="1">
      <c r="A906" s="30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spans="1:27" ht="16.5" customHeight="1">
      <c r="A907" s="30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spans="1:27" ht="16.5" customHeight="1">
      <c r="A908" s="30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spans="1:27" ht="16.5" customHeight="1">
      <c r="A909" s="30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spans="1:27" ht="16.5" customHeight="1">
      <c r="A910" s="30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spans="1:27" ht="16.5" customHeight="1">
      <c r="A911" s="30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spans="1:27" ht="16.5" customHeight="1">
      <c r="A912" s="30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spans="1:27" ht="16.5" customHeight="1">
      <c r="A913" s="30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spans="1:27" ht="16.5" customHeight="1">
      <c r="A914" s="30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spans="1:27" ht="16.5" customHeight="1">
      <c r="A915" s="30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spans="1:27" ht="16.5" customHeight="1">
      <c r="A916" s="30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spans="1:27" ht="16.5" customHeight="1">
      <c r="A917" s="30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spans="1:27" ht="16.5" customHeight="1">
      <c r="A918" s="30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spans="1:27" ht="16.5" customHeight="1">
      <c r="A919" s="30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spans="1:27" ht="16.5" customHeight="1">
      <c r="A920" s="30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spans="1:27" ht="16.5" customHeight="1">
      <c r="A921" s="30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spans="1:27" ht="16.5" customHeight="1">
      <c r="A922" s="30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spans="1:27" ht="16.5" customHeight="1">
      <c r="A923" s="30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spans="1:27" ht="16.5" customHeight="1">
      <c r="A924" s="30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spans="1:27" ht="16.5" customHeight="1">
      <c r="A925" s="30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spans="1:27" ht="16.5" customHeight="1">
      <c r="A926" s="30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spans="1:27" ht="16.5" customHeight="1">
      <c r="A927" s="30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spans="1:27" ht="16.5" customHeight="1">
      <c r="A928" s="30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spans="1:27" ht="16.5" customHeight="1">
      <c r="A929" s="30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spans="1:27" ht="16.5" customHeight="1">
      <c r="A930" s="30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spans="1:27" ht="16.5" customHeight="1">
      <c r="A931" s="30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spans="1:27" ht="16.5" customHeight="1">
      <c r="A932" s="30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spans="1:27" ht="16.5" customHeight="1">
      <c r="A933" s="30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spans="1:27" ht="16.5" customHeight="1">
      <c r="A934" s="30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spans="1:27" ht="16.5" customHeight="1">
      <c r="A935" s="30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spans="1:27" ht="16.5" customHeight="1">
      <c r="A936" s="30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spans="1:27" ht="16.5" customHeight="1">
      <c r="A937" s="30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spans="1:27" ht="16.5" customHeight="1">
      <c r="A938" s="30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spans="1:27" ht="16.5" customHeight="1">
      <c r="A939" s="30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spans="1:27" ht="16.5" customHeight="1">
      <c r="A940" s="30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spans="1:27" ht="16.5" customHeight="1">
      <c r="A941" s="30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spans="1:27" ht="16.5" customHeight="1">
      <c r="A942" s="30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spans="1:27" ht="16.5" customHeight="1">
      <c r="A943" s="30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spans="1:27" ht="16.5" customHeight="1">
      <c r="A944" s="30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spans="1:27" ht="16.5" customHeight="1">
      <c r="A945" s="30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spans="1:27" ht="16.5" customHeight="1">
      <c r="A946" s="30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spans="1:27" ht="16.5" customHeight="1">
      <c r="A947" s="30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spans="1:27" ht="16.5" customHeight="1">
      <c r="A948" s="30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spans="1:27" ht="16.5" customHeight="1">
      <c r="A949" s="30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spans="1:27" ht="16.5" customHeight="1">
      <c r="A950" s="30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spans="1:27" ht="16.5" customHeight="1">
      <c r="A951" s="30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spans="1:27" ht="16.5" customHeight="1">
      <c r="A952" s="30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spans="1:27" ht="16.5" customHeight="1">
      <c r="A953" s="30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spans="1:27" ht="16.5" customHeight="1">
      <c r="A954" s="30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spans="1:27" ht="16.5" customHeight="1">
      <c r="A955" s="30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spans="1:27" ht="16.5" customHeight="1">
      <c r="A956" s="30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spans="1:27" ht="16.5" customHeight="1">
      <c r="A957" s="30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spans="1:27" ht="16.5" customHeight="1">
      <c r="A958" s="30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spans="1:27" ht="16.5" customHeight="1">
      <c r="A959" s="30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spans="1:27" ht="16.5" customHeight="1">
      <c r="A960" s="30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spans="1:27" ht="16.5" customHeight="1">
      <c r="A961" s="30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spans="1:27" ht="16.5" customHeight="1">
      <c r="A962" s="30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spans="1:27" ht="16.5" customHeight="1">
      <c r="A963" s="30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spans="1:27" ht="16.5" customHeight="1">
      <c r="A964" s="30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 spans="1:27" ht="16.5" customHeight="1">
      <c r="A965" s="30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 spans="1:27" ht="16.5" customHeight="1">
      <c r="A966" s="30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 spans="1:27" ht="16.5" customHeight="1">
      <c r="A967" s="30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 spans="1:27" ht="16.5" customHeight="1">
      <c r="A968" s="30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 spans="1:27" ht="16.5" customHeight="1">
      <c r="A969" s="30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 spans="1:27" ht="16.5" customHeight="1">
      <c r="A970" s="30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 spans="1:27" ht="16.5" customHeight="1">
      <c r="A971" s="30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 spans="1:27" ht="16.5" customHeight="1">
      <c r="A972" s="30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 spans="1:27" ht="16.5" customHeight="1">
      <c r="A973" s="30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 spans="1:27" ht="16.5" customHeight="1">
      <c r="A974" s="30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 spans="1:27" ht="16.5" customHeight="1">
      <c r="A975" s="30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 spans="1:27" ht="16.5" customHeight="1">
      <c r="A976" s="30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 spans="1:27" ht="16.5" customHeight="1">
      <c r="A977" s="30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 spans="1:27" ht="16.5" customHeight="1">
      <c r="A978" s="30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 spans="1:27" ht="16.5" customHeight="1">
      <c r="A979" s="30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 spans="1:27" ht="16.5" customHeight="1">
      <c r="A980" s="30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 spans="1:27" ht="16.5" customHeight="1">
      <c r="A981" s="30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 spans="1:27" ht="16.5" customHeight="1">
      <c r="A982" s="30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 spans="1:27" ht="16.5" customHeight="1">
      <c r="A983" s="30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 spans="1:27" ht="16.5" customHeight="1">
      <c r="A984" s="30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 spans="1:27" ht="16.5" customHeight="1">
      <c r="A985" s="30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 spans="1:27" ht="16.5" customHeight="1">
      <c r="A986" s="30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 spans="1:27" ht="16.5" customHeight="1">
      <c r="A987" s="30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 spans="1:27" ht="16.5" customHeight="1">
      <c r="A988" s="30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 spans="1:27" ht="16.5" customHeight="1">
      <c r="A989" s="30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 spans="1:27" ht="16.5" customHeight="1">
      <c r="A990" s="30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 spans="1:27" ht="16.5" customHeight="1">
      <c r="A991" s="30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 spans="1:27" ht="16.5" customHeight="1">
      <c r="A992" s="30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 spans="1:27" ht="16.5" customHeight="1">
      <c r="A993" s="30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 spans="1:27" ht="16.5" customHeight="1">
      <c r="A994" s="30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 spans="1:27" ht="16.5" customHeight="1">
      <c r="A995" s="30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 spans="1:27" ht="16.5" customHeight="1">
      <c r="A996" s="30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 spans="1:27" ht="16.5" customHeight="1">
      <c r="A997" s="30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 spans="1:27" ht="16.5" customHeight="1">
      <c r="A998" s="30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 spans="1:27" ht="16.5" customHeight="1">
      <c r="A999" s="30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 spans="1:27" ht="16.5" customHeight="1">
      <c r="A1000" s="30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1001"/>
  <sheetViews>
    <sheetView tabSelected="1" workbookViewId="0">
      <selection activeCell="E1" sqref="E1:E1048576"/>
    </sheetView>
  </sheetViews>
  <sheetFormatPr defaultColWidth="14.453125" defaultRowHeight="15" customHeight="1"/>
  <cols>
    <col min="1" max="1" width="12.6328125" customWidth="1"/>
    <col min="2" max="2" width="18.26953125" customWidth="1"/>
    <col min="3" max="3" width="13.1796875" customWidth="1"/>
    <col min="4" max="4" width="15.7265625" customWidth="1"/>
    <col min="5" max="26" width="8.7265625" customWidth="1"/>
  </cols>
  <sheetData>
    <row r="1" spans="1:26" ht="14.5">
      <c r="A1" s="31" t="s">
        <v>32</v>
      </c>
      <c r="D1" s="117" t="s">
        <v>187</v>
      </c>
    </row>
    <row r="2" spans="1:26" ht="14.5">
      <c r="A2" s="33" t="s">
        <v>33</v>
      </c>
      <c r="B2" s="34" t="s">
        <v>34</v>
      </c>
      <c r="C2" s="34" t="s">
        <v>35</v>
      </c>
      <c r="D2" s="35" t="s">
        <v>36</v>
      </c>
      <c r="E2" s="35" t="s">
        <v>37</v>
      </c>
    </row>
    <row r="3" spans="1:26" ht="14.5">
      <c r="A3" s="36" t="s">
        <v>367</v>
      </c>
      <c r="B3" s="109" t="s">
        <v>279</v>
      </c>
      <c r="C3" s="110" t="s">
        <v>284</v>
      </c>
      <c r="D3" s="39" t="s">
        <v>38</v>
      </c>
      <c r="E3" s="40" t="s">
        <v>39</v>
      </c>
    </row>
    <row r="4" spans="1:26" ht="14.5">
      <c r="A4" s="83" t="s">
        <v>368</v>
      </c>
      <c r="B4" s="102" t="s">
        <v>280</v>
      </c>
      <c r="C4" s="106">
        <v>1265</v>
      </c>
      <c r="D4" s="41" t="s">
        <v>40</v>
      </c>
      <c r="E4" s="40" t="s">
        <v>39</v>
      </c>
    </row>
    <row r="5" spans="1:26" ht="14.5">
      <c r="A5" s="83" t="s">
        <v>369</v>
      </c>
      <c r="B5" s="102" t="s">
        <v>281</v>
      </c>
      <c r="C5" s="106">
        <v>1302</v>
      </c>
      <c r="D5" s="39" t="s">
        <v>41</v>
      </c>
      <c r="E5" s="40" t="s">
        <v>39</v>
      </c>
    </row>
    <row r="6" spans="1:26" ht="14.5">
      <c r="A6" s="83" t="s">
        <v>370</v>
      </c>
      <c r="B6" s="102" t="s">
        <v>282</v>
      </c>
      <c r="C6" s="114">
        <v>1340</v>
      </c>
      <c r="D6" s="39" t="s">
        <v>42</v>
      </c>
      <c r="E6" s="40" t="s">
        <v>39</v>
      </c>
    </row>
    <row r="7" spans="1:26" ht="14.5">
      <c r="A7" s="83" t="s">
        <v>371</v>
      </c>
      <c r="B7" s="102" t="s">
        <v>283</v>
      </c>
      <c r="C7" s="115">
        <v>1360</v>
      </c>
      <c r="D7" s="39" t="s">
        <v>43</v>
      </c>
      <c r="E7" s="40" t="s">
        <v>39</v>
      </c>
    </row>
    <row r="8" spans="1:26" ht="14.5">
      <c r="A8" s="83" t="s">
        <v>372</v>
      </c>
      <c r="B8" s="44"/>
      <c r="C8" s="45"/>
      <c r="D8" s="46" t="s">
        <v>44</v>
      </c>
      <c r="E8" s="47" t="s">
        <v>359</v>
      </c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</row>
    <row r="9" spans="1:26" ht="14.5">
      <c r="A9" s="49"/>
      <c r="B9" s="41"/>
      <c r="C9" s="50"/>
      <c r="D9" s="51"/>
      <c r="E9" s="52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</row>
    <row r="10" spans="1:26" ht="14.5">
      <c r="A10" s="53" t="s">
        <v>7</v>
      </c>
      <c r="B10" s="23">
        <f>COUNTA(B3:B9)</f>
        <v>5</v>
      </c>
      <c r="C10" s="54"/>
      <c r="D10" s="55"/>
      <c r="E10" s="56"/>
    </row>
    <row r="11" spans="1:26" ht="14.5">
      <c r="D11" s="32"/>
    </row>
    <row r="12" spans="1:26" ht="14.5">
      <c r="A12" s="89" t="s">
        <v>187</v>
      </c>
      <c r="B12" s="88" t="s">
        <v>188</v>
      </c>
      <c r="D12" s="32"/>
    </row>
    <row r="13" spans="1:26" ht="14.5">
      <c r="D13" s="32"/>
    </row>
    <row r="14" spans="1:26" ht="14.5">
      <c r="D14" s="32"/>
    </row>
    <row r="15" spans="1:26" ht="14.5">
      <c r="D15" s="32"/>
    </row>
    <row r="16" spans="1:26" ht="14.5">
      <c r="D16" s="32"/>
    </row>
    <row r="17" spans="4:5" ht="14.5">
      <c r="D17" s="32"/>
    </row>
    <row r="18" spans="4:5" ht="14.5">
      <c r="D18" s="32"/>
      <c r="E18" s="57"/>
    </row>
    <row r="19" spans="4:5" ht="14.5">
      <c r="D19" s="32"/>
    </row>
    <row r="20" spans="4:5" ht="14.5">
      <c r="D20" s="32"/>
    </row>
    <row r="21" spans="4:5" ht="14.5">
      <c r="D21" s="32"/>
    </row>
    <row r="22" spans="4:5" ht="15.75" customHeight="1">
      <c r="D22" s="32"/>
    </row>
    <row r="23" spans="4:5" ht="15.75" customHeight="1">
      <c r="D23" s="32"/>
    </row>
    <row r="24" spans="4:5" ht="15.75" customHeight="1">
      <c r="D24" s="32"/>
    </row>
    <row r="25" spans="4:5" ht="15.75" customHeight="1">
      <c r="D25" s="32"/>
    </row>
    <row r="26" spans="4:5" ht="15.75" customHeight="1">
      <c r="D26" s="32"/>
    </row>
    <row r="27" spans="4:5" ht="15.75" customHeight="1">
      <c r="D27" s="32"/>
    </row>
    <row r="28" spans="4:5" ht="15.75" customHeight="1">
      <c r="D28" s="32"/>
    </row>
    <row r="29" spans="4:5" ht="15.75" customHeight="1">
      <c r="D29" s="32"/>
    </row>
    <row r="30" spans="4:5" ht="15.75" customHeight="1">
      <c r="D30" s="32"/>
    </row>
    <row r="31" spans="4:5" ht="15.75" customHeight="1">
      <c r="D31" s="32"/>
    </row>
    <row r="32" spans="4:5" ht="15.75" customHeight="1">
      <c r="D32" s="32"/>
    </row>
    <row r="33" spans="4:4" ht="15.75" customHeight="1">
      <c r="D33" s="32"/>
    </row>
    <row r="34" spans="4:4" ht="15.75" customHeight="1">
      <c r="D34" s="32"/>
    </row>
    <row r="35" spans="4:4" ht="15.75" customHeight="1">
      <c r="D35" s="32"/>
    </row>
    <row r="36" spans="4:4" ht="15.75" customHeight="1">
      <c r="D36" s="32"/>
    </row>
    <row r="37" spans="4:4" ht="15.75" customHeight="1">
      <c r="D37" s="32"/>
    </row>
    <row r="38" spans="4:4" ht="15.75" customHeight="1">
      <c r="D38" s="32"/>
    </row>
    <row r="39" spans="4:4" ht="15.75" customHeight="1">
      <c r="D39" s="32"/>
    </row>
    <row r="40" spans="4:4" ht="15.75" customHeight="1">
      <c r="D40" s="32"/>
    </row>
    <row r="41" spans="4:4" ht="15.75" customHeight="1">
      <c r="D41" s="32"/>
    </row>
    <row r="42" spans="4:4" ht="15.75" customHeight="1">
      <c r="D42" s="32"/>
    </row>
    <row r="43" spans="4:4" ht="15.75" customHeight="1">
      <c r="D43" s="32"/>
    </row>
    <row r="44" spans="4:4" ht="15.75" customHeight="1">
      <c r="D44" s="32"/>
    </row>
    <row r="45" spans="4:4" ht="15.75" customHeight="1">
      <c r="D45" s="32"/>
    </row>
    <row r="46" spans="4:4" ht="15.75" customHeight="1">
      <c r="D46" s="32"/>
    </row>
    <row r="47" spans="4:4" ht="15.75" customHeight="1">
      <c r="D47" s="32"/>
    </row>
    <row r="48" spans="4:4" ht="15.75" customHeight="1">
      <c r="D48" s="32"/>
    </row>
    <row r="49" spans="4:4" ht="15.75" customHeight="1">
      <c r="D49" s="32"/>
    </row>
    <row r="50" spans="4:4" ht="15.75" customHeight="1">
      <c r="D50" s="32"/>
    </row>
    <row r="51" spans="4:4" ht="15.75" customHeight="1">
      <c r="D51" s="32"/>
    </row>
    <row r="52" spans="4:4" ht="15.75" customHeight="1">
      <c r="D52" s="32"/>
    </row>
    <row r="53" spans="4:4" ht="15.75" customHeight="1">
      <c r="D53" s="32"/>
    </row>
    <row r="54" spans="4:4" ht="15.75" customHeight="1">
      <c r="D54" s="32"/>
    </row>
    <row r="55" spans="4:4" ht="15.75" customHeight="1">
      <c r="D55" s="32"/>
    </row>
    <row r="56" spans="4:4" ht="15.75" customHeight="1">
      <c r="D56" s="32"/>
    </row>
    <row r="57" spans="4:4" ht="15.75" customHeight="1">
      <c r="D57" s="32"/>
    </row>
    <row r="58" spans="4:4" ht="15.75" customHeight="1">
      <c r="D58" s="32"/>
    </row>
    <row r="59" spans="4:4" ht="15.75" customHeight="1">
      <c r="D59" s="32"/>
    </row>
    <row r="60" spans="4:4" ht="15.75" customHeight="1">
      <c r="D60" s="32"/>
    </row>
    <row r="61" spans="4:4" ht="15.75" customHeight="1">
      <c r="D61" s="32"/>
    </row>
    <row r="62" spans="4:4" ht="15.75" customHeight="1">
      <c r="D62" s="32"/>
    </row>
    <row r="63" spans="4:4" ht="15.75" customHeight="1">
      <c r="D63" s="32"/>
    </row>
    <row r="64" spans="4:4" ht="15.75" customHeight="1">
      <c r="D64" s="32"/>
    </row>
    <row r="65" spans="4:4" ht="15.75" customHeight="1">
      <c r="D65" s="32"/>
    </row>
    <row r="66" spans="4:4" ht="15.75" customHeight="1">
      <c r="D66" s="32"/>
    </row>
    <row r="67" spans="4:4" ht="15.75" customHeight="1">
      <c r="D67" s="32"/>
    </row>
    <row r="68" spans="4:4" ht="15.75" customHeight="1">
      <c r="D68" s="32"/>
    </row>
    <row r="69" spans="4:4" ht="15.75" customHeight="1">
      <c r="D69" s="32"/>
    </row>
    <row r="70" spans="4:4" ht="15.75" customHeight="1">
      <c r="D70" s="32"/>
    </row>
    <row r="71" spans="4:4" ht="15.75" customHeight="1">
      <c r="D71" s="32"/>
    </row>
    <row r="72" spans="4:4" ht="15.75" customHeight="1">
      <c r="D72" s="32"/>
    </row>
    <row r="73" spans="4:4" ht="15.75" customHeight="1">
      <c r="D73" s="32"/>
    </row>
    <row r="74" spans="4:4" ht="15.75" customHeight="1">
      <c r="D74" s="32"/>
    </row>
    <row r="75" spans="4:4" ht="15.75" customHeight="1">
      <c r="D75" s="32"/>
    </row>
    <row r="76" spans="4:4" ht="15.75" customHeight="1">
      <c r="D76" s="32"/>
    </row>
    <row r="77" spans="4:4" ht="15.75" customHeight="1">
      <c r="D77" s="32"/>
    </row>
    <row r="78" spans="4:4" ht="15.75" customHeight="1">
      <c r="D78" s="32"/>
    </row>
    <row r="79" spans="4:4" ht="15.75" customHeight="1">
      <c r="D79" s="32"/>
    </row>
    <row r="80" spans="4:4" ht="15.75" customHeight="1">
      <c r="D80" s="32"/>
    </row>
    <row r="81" spans="4:4" ht="15.75" customHeight="1">
      <c r="D81" s="32"/>
    </row>
    <row r="82" spans="4:4" ht="15.75" customHeight="1">
      <c r="D82" s="32"/>
    </row>
    <row r="83" spans="4:4" ht="15.75" customHeight="1">
      <c r="D83" s="32"/>
    </row>
    <row r="84" spans="4:4" ht="15.75" customHeight="1">
      <c r="D84" s="32"/>
    </row>
    <row r="85" spans="4:4" ht="15.75" customHeight="1">
      <c r="D85" s="32"/>
    </row>
    <row r="86" spans="4:4" ht="15.75" customHeight="1">
      <c r="D86" s="32"/>
    </row>
    <row r="87" spans="4:4" ht="15.75" customHeight="1">
      <c r="D87" s="32"/>
    </row>
    <row r="88" spans="4:4" ht="15.75" customHeight="1">
      <c r="D88" s="32"/>
    </row>
    <row r="89" spans="4:4" ht="15.75" customHeight="1">
      <c r="D89" s="32"/>
    </row>
    <row r="90" spans="4:4" ht="15.75" customHeight="1">
      <c r="D90" s="32"/>
    </row>
    <row r="91" spans="4:4" ht="15.75" customHeight="1">
      <c r="D91" s="32"/>
    </row>
    <row r="92" spans="4:4" ht="15.75" customHeight="1">
      <c r="D92" s="32"/>
    </row>
    <row r="93" spans="4:4" ht="15.75" customHeight="1">
      <c r="D93" s="32"/>
    </row>
    <row r="94" spans="4:4" ht="15.75" customHeight="1">
      <c r="D94" s="32"/>
    </row>
    <row r="95" spans="4:4" ht="15.75" customHeight="1">
      <c r="D95" s="32"/>
    </row>
    <row r="96" spans="4:4" ht="15.75" customHeight="1">
      <c r="D96" s="32"/>
    </row>
    <row r="97" spans="4:4" ht="15.75" customHeight="1">
      <c r="D97" s="32"/>
    </row>
    <row r="98" spans="4:4" ht="15.75" customHeight="1">
      <c r="D98" s="32"/>
    </row>
    <row r="99" spans="4:4" ht="15.75" customHeight="1">
      <c r="D99" s="32"/>
    </row>
    <row r="100" spans="4:4" ht="15.75" customHeight="1">
      <c r="D100" s="32"/>
    </row>
    <row r="101" spans="4:4" ht="15.75" customHeight="1">
      <c r="D101" s="32"/>
    </row>
    <row r="102" spans="4:4" ht="15.75" customHeight="1">
      <c r="D102" s="32"/>
    </row>
    <row r="103" spans="4:4" ht="15.75" customHeight="1">
      <c r="D103" s="32"/>
    </row>
    <row r="104" spans="4:4" ht="15.75" customHeight="1">
      <c r="D104" s="32"/>
    </row>
    <row r="105" spans="4:4" ht="15.75" customHeight="1">
      <c r="D105" s="32"/>
    </row>
    <row r="106" spans="4:4" ht="15.75" customHeight="1">
      <c r="D106" s="32"/>
    </row>
    <row r="107" spans="4:4" ht="15.75" customHeight="1">
      <c r="D107" s="32"/>
    </row>
    <row r="108" spans="4:4" ht="15.75" customHeight="1">
      <c r="D108" s="32"/>
    </row>
    <row r="109" spans="4:4" ht="15.75" customHeight="1">
      <c r="D109" s="32"/>
    </row>
    <row r="110" spans="4:4" ht="15.75" customHeight="1">
      <c r="D110" s="32"/>
    </row>
    <row r="111" spans="4:4" ht="15.75" customHeight="1">
      <c r="D111" s="32"/>
    </row>
    <row r="112" spans="4:4" ht="15.75" customHeight="1">
      <c r="D112" s="32"/>
    </row>
    <row r="113" spans="4:4" ht="15.75" customHeight="1">
      <c r="D113" s="32"/>
    </row>
    <row r="114" spans="4:4" ht="15.75" customHeight="1">
      <c r="D114" s="32"/>
    </row>
    <row r="115" spans="4:4" ht="15.75" customHeight="1">
      <c r="D115" s="32"/>
    </row>
    <row r="116" spans="4:4" ht="15.75" customHeight="1">
      <c r="D116" s="32"/>
    </row>
    <row r="117" spans="4:4" ht="15.75" customHeight="1">
      <c r="D117" s="32"/>
    </row>
    <row r="118" spans="4:4" ht="15.75" customHeight="1">
      <c r="D118" s="32"/>
    </row>
    <row r="119" spans="4:4" ht="15.75" customHeight="1">
      <c r="D119" s="32"/>
    </row>
    <row r="120" spans="4:4" ht="15.75" customHeight="1">
      <c r="D120" s="32"/>
    </row>
    <row r="121" spans="4:4" ht="15.75" customHeight="1">
      <c r="D121" s="32"/>
    </row>
    <row r="122" spans="4:4" ht="15.75" customHeight="1">
      <c r="D122" s="32"/>
    </row>
    <row r="123" spans="4:4" ht="15.75" customHeight="1">
      <c r="D123" s="32"/>
    </row>
    <row r="124" spans="4:4" ht="15.75" customHeight="1">
      <c r="D124" s="32"/>
    </row>
    <row r="125" spans="4:4" ht="15.75" customHeight="1">
      <c r="D125" s="32"/>
    </row>
    <row r="126" spans="4:4" ht="15.75" customHeight="1">
      <c r="D126" s="32"/>
    </row>
    <row r="127" spans="4:4" ht="15.75" customHeight="1">
      <c r="D127" s="32"/>
    </row>
    <row r="128" spans="4:4" ht="15.75" customHeight="1">
      <c r="D128" s="32"/>
    </row>
    <row r="129" spans="4:4" ht="15.75" customHeight="1">
      <c r="D129" s="32"/>
    </row>
    <row r="130" spans="4:4" ht="15.75" customHeight="1">
      <c r="D130" s="32"/>
    </row>
    <row r="131" spans="4:4" ht="15.75" customHeight="1">
      <c r="D131" s="32"/>
    </row>
    <row r="132" spans="4:4" ht="15.75" customHeight="1">
      <c r="D132" s="32"/>
    </row>
    <row r="133" spans="4:4" ht="15.75" customHeight="1">
      <c r="D133" s="32"/>
    </row>
    <row r="134" spans="4:4" ht="15.75" customHeight="1">
      <c r="D134" s="32"/>
    </row>
    <row r="135" spans="4:4" ht="15.75" customHeight="1">
      <c r="D135" s="32"/>
    </row>
    <row r="136" spans="4:4" ht="15.75" customHeight="1">
      <c r="D136" s="32"/>
    </row>
    <row r="137" spans="4:4" ht="15.75" customHeight="1">
      <c r="D137" s="32"/>
    </row>
    <row r="138" spans="4:4" ht="15.75" customHeight="1">
      <c r="D138" s="32"/>
    </row>
    <row r="139" spans="4:4" ht="15.75" customHeight="1">
      <c r="D139" s="32"/>
    </row>
    <row r="140" spans="4:4" ht="15.75" customHeight="1">
      <c r="D140" s="32"/>
    </row>
    <row r="141" spans="4:4" ht="15.75" customHeight="1">
      <c r="D141" s="32"/>
    </row>
    <row r="142" spans="4:4" ht="15.75" customHeight="1">
      <c r="D142" s="32"/>
    </row>
    <row r="143" spans="4:4" ht="15.75" customHeight="1">
      <c r="D143" s="32"/>
    </row>
    <row r="144" spans="4:4" ht="15.75" customHeight="1">
      <c r="D144" s="32"/>
    </row>
    <row r="145" spans="4:4" ht="15.75" customHeight="1">
      <c r="D145" s="32"/>
    </row>
    <row r="146" spans="4:4" ht="15.75" customHeight="1">
      <c r="D146" s="32"/>
    </row>
    <row r="147" spans="4:4" ht="15.75" customHeight="1">
      <c r="D147" s="32"/>
    </row>
    <row r="148" spans="4:4" ht="15.75" customHeight="1">
      <c r="D148" s="32"/>
    </row>
    <row r="149" spans="4:4" ht="15.75" customHeight="1">
      <c r="D149" s="32"/>
    </row>
    <row r="150" spans="4:4" ht="15.75" customHeight="1">
      <c r="D150" s="32"/>
    </row>
    <row r="151" spans="4:4" ht="15.75" customHeight="1">
      <c r="D151" s="32"/>
    </row>
    <row r="152" spans="4:4" ht="15.75" customHeight="1">
      <c r="D152" s="32"/>
    </row>
    <row r="153" spans="4:4" ht="15.75" customHeight="1">
      <c r="D153" s="32"/>
    </row>
    <row r="154" spans="4:4" ht="15.75" customHeight="1">
      <c r="D154" s="32"/>
    </row>
    <row r="155" spans="4:4" ht="15.75" customHeight="1">
      <c r="D155" s="32"/>
    </row>
    <row r="156" spans="4:4" ht="15.75" customHeight="1">
      <c r="D156" s="32"/>
    </row>
    <row r="157" spans="4:4" ht="15.75" customHeight="1">
      <c r="D157" s="32"/>
    </row>
    <row r="158" spans="4:4" ht="15.75" customHeight="1">
      <c r="D158" s="32"/>
    </row>
    <row r="159" spans="4:4" ht="15.75" customHeight="1">
      <c r="D159" s="32"/>
    </row>
    <row r="160" spans="4:4" ht="15.75" customHeight="1">
      <c r="D160" s="32"/>
    </row>
    <row r="161" spans="4:4" ht="15.75" customHeight="1">
      <c r="D161" s="32"/>
    </row>
    <row r="162" spans="4:4" ht="15.75" customHeight="1">
      <c r="D162" s="32"/>
    </row>
    <row r="163" spans="4:4" ht="15.75" customHeight="1">
      <c r="D163" s="32"/>
    </row>
    <row r="164" spans="4:4" ht="15.75" customHeight="1">
      <c r="D164" s="32"/>
    </row>
    <row r="165" spans="4:4" ht="15.75" customHeight="1">
      <c r="D165" s="32"/>
    </row>
    <row r="166" spans="4:4" ht="15.75" customHeight="1">
      <c r="D166" s="32"/>
    </row>
    <row r="167" spans="4:4" ht="15.75" customHeight="1">
      <c r="D167" s="32"/>
    </row>
    <row r="168" spans="4:4" ht="15.75" customHeight="1">
      <c r="D168" s="32"/>
    </row>
    <row r="169" spans="4:4" ht="15.75" customHeight="1">
      <c r="D169" s="32"/>
    </row>
    <row r="170" spans="4:4" ht="15.75" customHeight="1">
      <c r="D170" s="32"/>
    </row>
    <row r="171" spans="4:4" ht="15.75" customHeight="1">
      <c r="D171" s="32"/>
    </row>
    <row r="172" spans="4:4" ht="15.75" customHeight="1">
      <c r="D172" s="32"/>
    </row>
    <row r="173" spans="4:4" ht="15.75" customHeight="1">
      <c r="D173" s="32"/>
    </row>
    <row r="174" spans="4:4" ht="15.75" customHeight="1">
      <c r="D174" s="32"/>
    </row>
    <row r="175" spans="4:4" ht="15.75" customHeight="1">
      <c r="D175" s="32"/>
    </row>
    <row r="176" spans="4:4" ht="15.75" customHeight="1">
      <c r="D176" s="32"/>
    </row>
    <row r="177" spans="4:4" ht="15.75" customHeight="1">
      <c r="D177" s="32"/>
    </row>
    <row r="178" spans="4:4" ht="15.75" customHeight="1">
      <c r="D178" s="32"/>
    </row>
    <row r="179" spans="4:4" ht="15.75" customHeight="1">
      <c r="D179" s="32"/>
    </row>
    <row r="180" spans="4:4" ht="15.75" customHeight="1">
      <c r="D180" s="32"/>
    </row>
    <row r="181" spans="4:4" ht="15.75" customHeight="1">
      <c r="D181" s="32"/>
    </row>
    <row r="182" spans="4:4" ht="15.75" customHeight="1">
      <c r="D182" s="32"/>
    </row>
    <row r="183" spans="4:4" ht="15.75" customHeight="1">
      <c r="D183" s="32"/>
    </row>
    <row r="184" spans="4:4" ht="15.75" customHeight="1">
      <c r="D184" s="32"/>
    </row>
    <row r="185" spans="4:4" ht="15.75" customHeight="1">
      <c r="D185" s="32"/>
    </row>
    <row r="186" spans="4:4" ht="15.75" customHeight="1">
      <c r="D186" s="32"/>
    </row>
    <row r="187" spans="4:4" ht="15.75" customHeight="1">
      <c r="D187" s="32"/>
    </row>
    <row r="188" spans="4:4" ht="15.75" customHeight="1">
      <c r="D188" s="32"/>
    </row>
    <row r="189" spans="4:4" ht="15.75" customHeight="1">
      <c r="D189" s="32"/>
    </row>
    <row r="190" spans="4:4" ht="15.75" customHeight="1">
      <c r="D190" s="32"/>
    </row>
    <row r="191" spans="4:4" ht="15.75" customHeight="1">
      <c r="D191" s="32"/>
    </row>
    <row r="192" spans="4:4" ht="15.75" customHeight="1">
      <c r="D192" s="32"/>
    </row>
    <row r="193" spans="4:4" ht="15.75" customHeight="1">
      <c r="D193" s="32"/>
    </row>
    <row r="194" spans="4:4" ht="15.75" customHeight="1">
      <c r="D194" s="32"/>
    </row>
    <row r="195" spans="4:4" ht="15.75" customHeight="1">
      <c r="D195" s="32"/>
    </row>
    <row r="196" spans="4:4" ht="15.75" customHeight="1">
      <c r="D196" s="32"/>
    </row>
    <row r="197" spans="4:4" ht="15.75" customHeight="1">
      <c r="D197" s="32"/>
    </row>
    <row r="198" spans="4:4" ht="15.75" customHeight="1">
      <c r="D198" s="32"/>
    </row>
    <row r="199" spans="4:4" ht="15.75" customHeight="1">
      <c r="D199" s="32"/>
    </row>
    <row r="200" spans="4:4" ht="15.75" customHeight="1">
      <c r="D200" s="32"/>
    </row>
    <row r="201" spans="4:4" ht="15.75" customHeight="1">
      <c r="D201" s="32"/>
    </row>
    <row r="202" spans="4:4" ht="15.75" customHeight="1">
      <c r="D202" s="32"/>
    </row>
    <row r="203" spans="4:4" ht="15.75" customHeight="1">
      <c r="D203" s="32"/>
    </row>
    <row r="204" spans="4:4" ht="15.75" customHeight="1">
      <c r="D204" s="32"/>
    </row>
    <row r="205" spans="4:4" ht="15.75" customHeight="1">
      <c r="D205" s="32"/>
    </row>
    <row r="206" spans="4:4" ht="15.75" customHeight="1">
      <c r="D206" s="32"/>
    </row>
    <row r="207" spans="4:4" ht="15.75" customHeight="1">
      <c r="D207" s="32"/>
    </row>
    <row r="208" spans="4:4" ht="15.75" customHeight="1">
      <c r="D208" s="32"/>
    </row>
    <row r="209" spans="4:4" ht="15.75" customHeight="1">
      <c r="D209" s="32"/>
    </row>
    <row r="210" spans="4:4" ht="15.75" customHeight="1">
      <c r="D210" s="32"/>
    </row>
    <row r="211" spans="4:4" ht="15.75" customHeight="1">
      <c r="D211" s="32"/>
    </row>
    <row r="212" spans="4:4" ht="15.75" customHeight="1">
      <c r="D212" s="32"/>
    </row>
    <row r="213" spans="4:4" ht="15.75" customHeight="1">
      <c r="D213" s="32"/>
    </row>
    <row r="214" spans="4:4" ht="15.75" customHeight="1">
      <c r="D214" s="32"/>
    </row>
    <row r="215" spans="4:4" ht="15.75" customHeight="1">
      <c r="D215" s="32"/>
    </row>
    <row r="216" spans="4:4" ht="15.75" customHeight="1">
      <c r="D216" s="32"/>
    </row>
    <row r="217" spans="4:4" ht="15.75" customHeight="1">
      <c r="D217" s="32"/>
    </row>
    <row r="218" spans="4:4" ht="15.75" customHeight="1">
      <c r="D218" s="32"/>
    </row>
    <row r="219" spans="4:4" ht="15.75" customHeight="1">
      <c r="D219" s="32"/>
    </row>
    <row r="220" spans="4:4" ht="15.75" customHeight="1">
      <c r="D220" s="32"/>
    </row>
    <row r="221" spans="4:4" ht="15.75" customHeight="1">
      <c r="D221" s="32"/>
    </row>
    <row r="222" spans="4:4" ht="15.75" customHeight="1">
      <c r="D222" s="32"/>
    </row>
    <row r="223" spans="4:4" ht="15.75" customHeight="1">
      <c r="D223" s="32"/>
    </row>
    <row r="224" spans="4:4" ht="15.75" customHeight="1">
      <c r="D224" s="32"/>
    </row>
    <row r="225" spans="4:4" ht="15.75" customHeight="1">
      <c r="D225" s="32"/>
    </row>
    <row r="226" spans="4:4" ht="15.75" customHeight="1">
      <c r="D226" s="32"/>
    </row>
    <row r="227" spans="4:4" ht="15.75" customHeight="1">
      <c r="D227" s="32"/>
    </row>
    <row r="228" spans="4:4" ht="15.75" customHeight="1">
      <c r="D228" s="32"/>
    </row>
    <row r="229" spans="4:4" ht="15.75" customHeight="1">
      <c r="D229" s="32"/>
    </row>
    <row r="230" spans="4:4" ht="15.75" customHeight="1">
      <c r="D230" s="32"/>
    </row>
    <row r="231" spans="4:4" ht="15.75" customHeight="1">
      <c r="D231" s="32"/>
    </row>
    <row r="232" spans="4:4" ht="15.75" customHeight="1">
      <c r="D232" s="32"/>
    </row>
    <row r="233" spans="4:4" ht="15.75" customHeight="1">
      <c r="D233" s="32"/>
    </row>
    <row r="234" spans="4:4" ht="15.75" customHeight="1">
      <c r="D234" s="32"/>
    </row>
    <row r="235" spans="4:4" ht="15.75" customHeight="1">
      <c r="D235" s="32"/>
    </row>
    <row r="236" spans="4:4" ht="15.75" customHeight="1">
      <c r="D236" s="32"/>
    </row>
    <row r="237" spans="4:4" ht="15.75" customHeight="1">
      <c r="D237" s="32"/>
    </row>
    <row r="238" spans="4:4" ht="15.75" customHeight="1">
      <c r="D238" s="32"/>
    </row>
    <row r="239" spans="4:4" ht="15.75" customHeight="1">
      <c r="D239" s="32"/>
    </row>
    <row r="240" spans="4:4" ht="15.75" customHeight="1">
      <c r="D240" s="32"/>
    </row>
    <row r="241" spans="4:4" ht="15.75" customHeight="1">
      <c r="D241" s="32"/>
    </row>
    <row r="242" spans="4:4" ht="15.75" customHeight="1">
      <c r="D242" s="32"/>
    </row>
    <row r="243" spans="4:4" ht="15.75" customHeight="1">
      <c r="D243" s="32"/>
    </row>
    <row r="244" spans="4:4" ht="15.75" customHeight="1">
      <c r="D244" s="32"/>
    </row>
    <row r="245" spans="4:4" ht="15.75" customHeight="1">
      <c r="D245" s="32"/>
    </row>
    <row r="246" spans="4:4" ht="15.75" customHeight="1">
      <c r="D246" s="32"/>
    </row>
    <row r="247" spans="4:4" ht="15.75" customHeight="1">
      <c r="D247" s="32"/>
    </row>
    <row r="248" spans="4:4" ht="15.75" customHeight="1">
      <c r="D248" s="32"/>
    </row>
    <row r="249" spans="4:4" ht="15.75" customHeight="1">
      <c r="D249" s="32"/>
    </row>
    <row r="250" spans="4:4" ht="15.75" customHeight="1">
      <c r="D250" s="32"/>
    </row>
    <row r="251" spans="4:4" ht="15.75" customHeight="1">
      <c r="D251" s="32"/>
    </row>
    <row r="252" spans="4:4" ht="15.75" customHeight="1">
      <c r="D252" s="32"/>
    </row>
    <row r="253" spans="4:4" ht="15.75" customHeight="1">
      <c r="D253" s="32"/>
    </row>
    <row r="254" spans="4:4" ht="15.75" customHeight="1">
      <c r="D254" s="32"/>
    </row>
    <row r="255" spans="4:4" ht="15.75" customHeight="1">
      <c r="D255" s="32"/>
    </row>
    <row r="256" spans="4:4" ht="15.75" customHeight="1">
      <c r="D256" s="32"/>
    </row>
    <row r="257" spans="4:4" ht="15.75" customHeight="1">
      <c r="D257" s="32"/>
    </row>
    <row r="258" spans="4:4" ht="15.75" customHeight="1">
      <c r="D258" s="32"/>
    </row>
    <row r="259" spans="4:4" ht="15.75" customHeight="1">
      <c r="D259" s="32"/>
    </row>
    <row r="260" spans="4:4" ht="15.75" customHeight="1">
      <c r="D260" s="32"/>
    </row>
    <row r="261" spans="4:4" ht="15.75" customHeight="1">
      <c r="D261" s="32"/>
    </row>
    <row r="262" spans="4:4" ht="15.75" customHeight="1">
      <c r="D262" s="32"/>
    </row>
    <row r="263" spans="4:4" ht="15.75" customHeight="1">
      <c r="D263" s="32"/>
    </row>
    <row r="264" spans="4:4" ht="15.75" customHeight="1">
      <c r="D264" s="32"/>
    </row>
    <row r="265" spans="4:4" ht="15.75" customHeight="1">
      <c r="D265" s="32"/>
    </row>
    <row r="266" spans="4:4" ht="15.75" customHeight="1">
      <c r="D266" s="32"/>
    </row>
    <row r="267" spans="4:4" ht="15.75" customHeight="1">
      <c r="D267" s="32"/>
    </row>
    <row r="268" spans="4:4" ht="15.75" customHeight="1">
      <c r="D268" s="32"/>
    </row>
    <row r="269" spans="4:4" ht="15.75" customHeight="1">
      <c r="D269" s="32"/>
    </row>
    <row r="270" spans="4:4" ht="15.75" customHeight="1">
      <c r="D270" s="32"/>
    </row>
    <row r="271" spans="4:4" ht="15.75" customHeight="1">
      <c r="D271" s="32"/>
    </row>
    <row r="272" spans="4:4" ht="15.75" customHeight="1">
      <c r="D272" s="32"/>
    </row>
    <row r="273" spans="4:4" ht="15.75" customHeight="1">
      <c r="D273" s="32"/>
    </row>
    <row r="274" spans="4:4" ht="15.75" customHeight="1">
      <c r="D274" s="32"/>
    </row>
    <row r="275" spans="4:4" ht="15.75" customHeight="1">
      <c r="D275" s="32"/>
    </row>
    <row r="276" spans="4:4" ht="15.75" customHeight="1">
      <c r="D276" s="32"/>
    </row>
    <row r="277" spans="4:4" ht="15.75" customHeight="1">
      <c r="D277" s="32"/>
    </row>
    <row r="278" spans="4:4" ht="15.75" customHeight="1">
      <c r="D278" s="32"/>
    </row>
    <row r="279" spans="4:4" ht="15.75" customHeight="1">
      <c r="D279" s="32"/>
    </row>
    <row r="280" spans="4:4" ht="15.75" customHeight="1">
      <c r="D280" s="32"/>
    </row>
    <row r="281" spans="4:4" ht="15.75" customHeight="1">
      <c r="D281" s="32"/>
    </row>
    <row r="282" spans="4:4" ht="15.75" customHeight="1">
      <c r="D282" s="32"/>
    </row>
    <row r="283" spans="4:4" ht="15.75" customHeight="1">
      <c r="D283" s="32"/>
    </row>
    <row r="284" spans="4:4" ht="15.75" customHeight="1">
      <c r="D284" s="32"/>
    </row>
    <row r="285" spans="4:4" ht="15.75" customHeight="1">
      <c r="D285" s="32"/>
    </row>
    <row r="286" spans="4:4" ht="15.75" customHeight="1">
      <c r="D286" s="32"/>
    </row>
    <row r="287" spans="4:4" ht="15.75" customHeight="1">
      <c r="D287" s="32"/>
    </row>
    <row r="288" spans="4:4" ht="15.75" customHeight="1">
      <c r="D288" s="32"/>
    </row>
    <row r="289" spans="4:4" ht="15.75" customHeight="1">
      <c r="D289" s="32"/>
    </row>
    <row r="290" spans="4:4" ht="15.75" customHeight="1">
      <c r="D290" s="32"/>
    </row>
    <row r="291" spans="4:4" ht="15.75" customHeight="1">
      <c r="D291" s="32"/>
    </row>
    <row r="292" spans="4:4" ht="15.75" customHeight="1">
      <c r="D292" s="32"/>
    </row>
    <row r="293" spans="4:4" ht="15.75" customHeight="1">
      <c r="D293" s="32"/>
    </row>
    <row r="294" spans="4:4" ht="15.75" customHeight="1">
      <c r="D294" s="32"/>
    </row>
    <row r="295" spans="4:4" ht="15.75" customHeight="1">
      <c r="D295" s="32"/>
    </row>
    <row r="296" spans="4:4" ht="15.75" customHeight="1">
      <c r="D296" s="32"/>
    </row>
    <row r="297" spans="4:4" ht="15.75" customHeight="1">
      <c r="D297" s="32"/>
    </row>
    <row r="298" spans="4:4" ht="15.75" customHeight="1">
      <c r="D298" s="32"/>
    </row>
    <row r="299" spans="4:4" ht="15.75" customHeight="1">
      <c r="D299" s="32"/>
    </row>
    <row r="300" spans="4:4" ht="15.75" customHeight="1">
      <c r="D300" s="32"/>
    </row>
    <row r="301" spans="4:4" ht="15.75" customHeight="1">
      <c r="D301" s="32"/>
    </row>
    <row r="302" spans="4:4" ht="15.75" customHeight="1">
      <c r="D302" s="32"/>
    </row>
    <row r="303" spans="4:4" ht="15.75" customHeight="1">
      <c r="D303" s="32"/>
    </row>
    <row r="304" spans="4:4" ht="15.75" customHeight="1">
      <c r="D304" s="32"/>
    </row>
    <row r="305" spans="4:4" ht="15.75" customHeight="1">
      <c r="D305" s="32"/>
    </row>
    <row r="306" spans="4:4" ht="15.75" customHeight="1">
      <c r="D306" s="32"/>
    </row>
    <row r="307" spans="4:4" ht="15.75" customHeight="1">
      <c r="D307" s="32"/>
    </row>
    <row r="308" spans="4:4" ht="15.75" customHeight="1">
      <c r="D308" s="32"/>
    </row>
    <row r="309" spans="4:4" ht="15.75" customHeight="1">
      <c r="D309" s="32"/>
    </row>
    <row r="310" spans="4:4" ht="15.75" customHeight="1">
      <c r="D310" s="32"/>
    </row>
    <row r="311" spans="4:4" ht="15.75" customHeight="1">
      <c r="D311" s="32"/>
    </row>
    <row r="312" spans="4:4" ht="15.75" customHeight="1">
      <c r="D312" s="32"/>
    </row>
    <row r="313" spans="4:4" ht="15.75" customHeight="1">
      <c r="D313" s="32"/>
    </row>
    <row r="314" spans="4:4" ht="15.75" customHeight="1">
      <c r="D314" s="32"/>
    </row>
    <row r="315" spans="4:4" ht="15.75" customHeight="1">
      <c r="D315" s="32"/>
    </row>
    <row r="316" spans="4:4" ht="15.75" customHeight="1">
      <c r="D316" s="32"/>
    </row>
    <row r="317" spans="4:4" ht="15.75" customHeight="1">
      <c r="D317" s="32"/>
    </row>
    <row r="318" spans="4:4" ht="15.75" customHeight="1">
      <c r="D318" s="32"/>
    </row>
    <row r="319" spans="4:4" ht="15.75" customHeight="1">
      <c r="D319" s="32"/>
    </row>
    <row r="320" spans="4:4" ht="15.75" customHeight="1">
      <c r="D320" s="32"/>
    </row>
    <row r="321" spans="4:4" ht="15.75" customHeight="1">
      <c r="D321" s="32"/>
    </row>
    <row r="322" spans="4:4" ht="15.75" customHeight="1">
      <c r="D322" s="32"/>
    </row>
    <row r="323" spans="4:4" ht="15.75" customHeight="1">
      <c r="D323" s="32"/>
    </row>
    <row r="324" spans="4:4" ht="15.75" customHeight="1">
      <c r="D324" s="32"/>
    </row>
    <row r="325" spans="4:4" ht="15.75" customHeight="1">
      <c r="D325" s="32"/>
    </row>
    <row r="326" spans="4:4" ht="15.75" customHeight="1">
      <c r="D326" s="32"/>
    </row>
    <row r="327" spans="4:4" ht="15.75" customHeight="1">
      <c r="D327" s="32"/>
    </row>
    <row r="328" spans="4:4" ht="15.75" customHeight="1">
      <c r="D328" s="32"/>
    </row>
    <row r="329" spans="4:4" ht="15.75" customHeight="1">
      <c r="D329" s="32"/>
    </row>
    <row r="330" spans="4:4" ht="15.75" customHeight="1">
      <c r="D330" s="32"/>
    </row>
    <row r="331" spans="4:4" ht="15.75" customHeight="1">
      <c r="D331" s="32"/>
    </row>
    <row r="332" spans="4:4" ht="15.75" customHeight="1">
      <c r="D332" s="32"/>
    </row>
    <row r="333" spans="4:4" ht="15.75" customHeight="1">
      <c r="D333" s="32"/>
    </row>
    <row r="334" spans="4:4" ht="15.75" customHeight="1">
      <c r="D334" s="32"/>
    </row>
    <row r="335" spans="4:4" ht="15.75" customHeight="1">
      <c r="D335" s="32"/>
    </row>
    <row r="336" spans="4:4" ht="15.75" customHeight="1">
      <c r="D336" s="32"/>
    </row>
    <row r="337" spans="4:4" ht="15.75" customHeight="1">
      <c r="D337" s="32"/>
    </row>
    <row r="338" spans="4:4" ht="15.75" customHeight="1">
      <c r="D338" s="32"/>
    </row>
    <row r="339" spans="4:4" ht="15.75" customHeight="1">
      <c r="D339" s="32"/>
    </row>
    <row r="340" spans="4:4" ht="15.75" customHeight="1">
      <c r="D340" s="32"/>
    </row>
    <row r="341" spans="4:4" ht="15.75" customHeight="1">
      <c r="D341" s="32"/>
    </row>
    <row r="342" spans="4:4" ht="15.75" customHeight="1">
      <c r="D342" s="32"/>
    </row>
    <row r="343" spans="4:4" ht="15.75" customHeight="1">
      <c r="D343" s="32"/>
    </row>
    <row r="344" spans="4:4" ht="15.75" customHeight="1">
      <c r="D344" s="32"/>
    </row>
    <row r="345" spans="4:4" ht="15.75" customHeight="1">
      <c r="D345" s="32"/>
    </row>
    <row r="346" spans="4:4" ht="15.75" customHeight="1">
      <c r="D346" s="32"/>
    </row>
    <row r="347" spans="4:4" ht="15.75" customHeight="1">
      <c r="D347" s="32"/>
    </row>
    <row r="348" spans="4:4" ht="15.75" customHeight="1">
      <c r="D348" s="32"/>
    </row>
    <row r="349" spans="4:4" ht="15.75" customHeight="1">
      <c r="D349" s="32"/>
    </row>
    <row r="350" spans="4:4" ht="15.75" customHeight="1">
      <c r="D350" s="32"/>
    </row>
    <row r="351" spans="4:4" ht="15.75" customHeight="1">
      <c r="D351" s="32"/>
    </row>
    <row r="352" spans="4:4" ht="15.75" customHeight="1">
      <c r="D352" s="32"/>
    </row>
    <row r="353" spans="4:4" ht="15.75" customHeight="1">
      <c r="D353" s="32"/>
    </row>
    <row r="354" spans="4:4" ht="15.75" customHeight="1">
      <c r="D354" s="32"/>
    </row>
    <row r="355" spans="4:4" ht="15.75" customHeight="1">
      <c r="D355" s="32"/>
    </row>
    <row r="356" spans="4:4" ht="15.75" customHeight="1">
      <c r="D356" s="32"/>
    </row>
    <row r="357" spans="4:4" ht="15.75" customHeight="1">
      <c r="D357" s="32"/>
    </row>
    <row r="358" spans="4:4" ht="15.75" customHeight="1">
      <c r="D358" s="32"/>
    </row>
    <row r="359" spans="4:4" ht="15.75" customHeight="1">
      <c r="D359" s="32"/>
    </row>
    <row r="360" spans="4:4" ht="15.75" customHeight="1">
      <c r="D360" s="32"/>
    </row>
    <row r="361" spans="4:4" ht="15.75" customHeight="1">
      <c r="D361" s="32"/>
    </row>
    <row r="362" spans="4:4" ht="15.75" customHeight="1">
      <c r="D362" s="32"/>
    </row>
    <row r="363" spans="4:4" ht="15.75" customHeight="1">
      <c r="D363" s="32"/>
    </row>
    <row r="364" spans="4:4" ht="15.75" customHeight="1">
      <c r="D364" s="32"/>
    </row>
    <row r="365" spans="4:4" ht="15.75" customHeight="1">
      <c r="D365" s="32"/>
    </row>
    <row r="366" spans="4:4" ht="15.75" customHeight="1">
      <c r="D366" s="32"/>
    </row>
    <row r="367" spans="4:4" ht="15.75" customHeight="1">
      <c r="D367" s="32"/>
    </row>
    <row r="368" spans="4:4" ht="15.75" customHeight="1">
      <c r="D368" s="32"/>
    </row>
    <row r="369" spans="4:4" ht="15.75" customHeight="1">
      <c r="D369" s="32"/>
    </row>
    <row r="370" spans="4:4" ht="15.75" customHeight="1">
      <c r="D370" s="32"/>
    </row>
    <row r="371" spans="4:4" ht="15.75" customHeight="1">
      <c r="D371" s="32"/>
    </row>
    <row r="372" spans="4:4" ht="15.75" customHeight="1">
      <c r="D372" s="32"/>
    </row>
    <row r="373" spans="4:4" ht="15.75" customHeight="1">
      <c r="D373" s="32"/>
    </row>
    <row r="374" spans="4:4" ht="15.75" customHeight="1">
      <c r="D374" s="32"/>
    </row>
    <row r="375" spans="4:4" ht="15.75" customHeight="1">
      <c r="D375" s="32"/>
    </row>
    <row r="376" spans="4:4" ht="15.75" customHeight="1">
      <c r="D376" s="32"/>
    </row>
    <row r="377" spans="4:4" ht="15.75" customHeight="1">
      <c r="D377" s="32"/>
    </row>
    <row r="378" spans="4:4" ht="15.75" customHeight="1">
      <c r="D378" s="32"/>
    </row>
    <row r="379" spans="4:4" ht="15.75" customHeight="1">
      <c r="D379" s="32"/>
    </row>
    <row r="380" spans="4:4" ht="15.75" customHeight="1">
      <c r="D380" s="32"/>
    </row>
    <row r="381" spans="4:4" ht="15.75" customHeight="1">
      <c r="D381" s="32"/>
    </row>
    <row r="382" spans="4:4" ht="15.75" customHeight="1">
      <c r="D382" s="32"/>
    </row>
    <row r="383" spans="4:4" ht="15.75" customHeight="1">
      <c r="D383" s="32"/>
    </row>
    <row r="384" spans="4:4" ht="15.75" customHeight="1">
      <c r="D384" s="32"/>
    </row>
    <row r="385" spans="4:4" ht="15.75" customHeight="1">
      <c r="D385" s="32"/>
    </row>
    <row r="386" spans="4:4" ht="15.75" customHeight="1">
      <c r="D386" s="32"/>
    </row>
    <row r="387" spans="4:4" ht="15.75" customHeight="1">
      <c r="D387" s="32"/>
    </row>
    <row r="388" spans="4:4" ht="15.75" customHeight="1">
      <c r="D388" s="32"/>
    </row>
    <row r="389" spans="4:4" ht="15.75" customHeight="1">
      <c r="D389" s="32"/>
    </row>
    <row r="390" spans="4:4" ht="15.75" customHeight="1">
      <c r="D390" s="32"/>
    </row>
    <row r="391" spans="4:4" ht="15.75" customHeight="1">
      <c r="D391" s="32"/>
    </row>
    <row r="392" spans="4:4" ht="15.75" customHeight="1">
      <c r="D392" s="32"/>
    </row>
    <row r="393" spans="4:4" ht="15.75" customHeight="1">
      <c r="D393" s="32"/>
    </row>
    <row r="394" spans="4:4" ht="15.75" customHeight="1">
      <c r="D394" s="32"/>
    </row>
    <row r="395" spans="4:4" ht="15.75" customHeight="1">
      <c r="D395" s="32"/>
    </row>
    <row r="396" spans="4:4" ht="15.75" customHeight="1">
      <c r="D396" s="32"/>
    </row>
    <row r="397" spans="4:4" ht="15.75" customHeight="1">
      <c r="D397" s="32"/>
    </row>
    <row r="398" spans="4:4" ht="15.75" customHeight="1">
      <c r="D398" s="32"/>
    </row>
    <row r="399" spans="4:4" ht="15.75" customHeight="1">
      <c r="D399" s="32"/>
    </row>
    <row r="400" spans="4:4" ht="15.75" customHeight="1">
      <c r="D400" s="32"/>
    </row>
    <row r="401" spans="4:4" ht="15.75" customHeight="1">
      <c r="D401" s="32"/>
    </row>
    <row r="402" spans="4:4" ht="15.75" customHeight="1">
      <c r="D402" s="32"/>
    </row>
    <row r="403" spans="4:4" ht="15.75" customHeight="1">
      <c r="D403" s="32"/>
    </row>
    <row r="404" spans="4:4" ht="15.75" customHeight="1">
      <c r="D404" s="32"/>
    </row>
    <row r="405" spans="4:4" ht="15.75" customHeight="1">
      <c r="D405" s="32"/>
    </row>
    <row r="406" spans="4:4" ht="15.75" customHeight="1">
      <c r="D406" s="32"/>
    </row>
    <row r="407" spans="4:4" ht="15.75" customHeight="1">
      <c r="D407" s="32"/>
    </row>
    <row r="408" spans="4:4" ht="15.75" customHeight="1">
      <c r="D408" s="32"/>
    </row>
    <row r="409" spans="4:4" ht="15.75" customHeight="1">
      <c r="D409" s="32"/>
    </row>
    <row r="410" spans="4:4" ht="15.75" customHeight="1">
      <c r="D410" s="32"/>
    </row>
    <row r="411" spans="4:4" ht="15.75" customHeight="1">
      <c r="D411" s="32"/>
    </row>
    <row r="412" spans="4:4" ht="15.75" customHeight="1">
      <c r="D412" s="32"/>
    </row>
    <row r="413" spans="4:4" ht="15.75" customHeight="1">
      <c r="D413" s="32"/>
    </row>
    <row r="414" spans="4:4" ht="15.75" customHeight="1">
      <c r="D414" s="32"/>
    </row>
    <row r="415" spans="4:4" ht="15.75" customHeight="1">
      <c r="D415" s="32"/>
    </row>
    <row r="416" spans="4:4" ht="15.75" customHeight="1">
      <c r="D416" s="32"/>
    </row>
    <row r="417" spans="4:4" ht="15.75" customHeight="1">
      <c r="D417" s="32"/>
    </row>
    <row r="418" spans="4:4" ht="15.75" customHeight="1">
      <c r="D418" s="32"/>
    </row>
    <row r="419" spans="4:4" ht="15.75" customHeight="1">
      <c r="D419" s="32"/>
    </row>
    <row r="420" spans="4:4" ht="15.75" customHeight="1">
      <c r="D420" s="32"/>
    </row>
    <row r="421" spans="4:4" ht="15.75" customHeight="1">
      <c r="D421" s="32"/>
    </row>
    <row r="422" spans="4:4" ht="15.75" customHeight="1">
      <c r="D422" s="32"/>
    </row>
    <row r="423" spans="4:4" ht="15.75" customHeight="1">
      <c r="D423" s="32"/>
    </row>
    <row r="424" spans="4:4" ht="15.75" customHeight="1">
      <c r="D424" s="32"/>
    </row>
    <row r="425" spans="4:4" ht="15.75" customHeight="1">
      <c r="D425" s="32"/>
    </row>
    <row r="426" spans="4:4" ht="15.75" customHeight="1">
      <c r="D426" s="32"/>
    </row>
    <row r="427" spans="4:4" ht="15.75" customHeight="1">
      <c r="D427" s="32"/>
    </row>
    <row r="428" spans="4:4" ht="15.75" customHeight="1">
      <c r="D428" s="32"/>
    </row>
    <row r="429" spans="4:4" ht="15.75" customHeight="1">
      <c r="D429" s="32"/>
    </row>
    <row r="430" spans="4:4" ht="15.75" customHeight="1">
      <c r="D430" s="32"/>
    </row>
    <row r="431" spans="4:4" ht="15.75" customHeight="1">
      <c r="D431" s="32"/>
    </row>
    <row r="432" spans="4:4" ht="15.75" customHeight="1">
      <c r="D432" s="32"/>
    </row>
    <row r="433" spans="4:4" ht="15.75" customHeight="1">
      <c r="D433" s="32"/>
    </row>
    <row r="434" spans="4:4" ht="15.75" customHeight="1">
      <c r="D434" s="32"/>
    </row>
    <row r="435" spans="4:4" ht="15.75" customHeight="1">
      <c r="D435" s="32"/>
    </row>
    <row r="436" spans="4:4" ht="15.75" customHeight="1">
      <c r="D436" s="32"/>
    </row>
    <row r="437" spans="4:4" ht="15.75" customHeight="1">
      <c r="D437" s="32"/>
    </row>
    <row r="438" spans="4:4" ht="15.75" customHeight="1">
      <c r="D438" s="32"/>
    </row>
    <row r="439" spans="4:4" ht="15.75" customHeight="1">
      <c r="D439" s="32"/>
    </row>
    <row r="440" spans="4:4" ht="15.75" customHeight="1">
      <c r="D440" s="32"/>
    </row>
    <row r="441" spans="4:4" ht="15.75" customHeight="1">
      <c r="D441" s="32"/>
    </row>
    <row r="442" spans="4:4" ht="15.75" customHeight="1">
      <c r="D442" s="32"/>
    </row>
    <row r="443" spans="4:4" ht="15.75" customHeight="1">
      <c r="D443" s="32"/>
    </row>
    <row r="444" spans="4:4" ht="15.75" customHeight="1">
      <c r="D444" s="32"/>
    </row>
    <row r="445" spans="4:4" ht="15.75" customHeight="1">
      <c r="D445" s="32"/>
    </row>
    <row r="446" spans="4:4" ht="15.75" customHeight="1">
      <c r="D446" s="32"/>
    </row>
    <row r="447" spans="4:4" ht="15.75" customHeight="1">
      <c r="D447" s="32"/>
    </row>
    <row r="448" spans="4:4" ht="15.75" customHeight="1">
      <c r="D448" s="32"/>
    </row>
    <row r="449" spans="4:4" ht="15.75" customHeight="1">
      <c r="D449" s="32"/>
    </row>
    <row r="450" spans="4:4" ht="15.75" customHeight="1">
      <c r="D450" s="32"/>
    </row>
    <row r="451" spans="4:4" ht="15.75" customHeight="1">
      <c r="D451" s="32"/>
    </row>
    <row r="452" spans="4:4" ht="15.75" customHeight="1">
      <c r="D452" s="32"/>
    </row>
    <row r="453" spans="4:4" ht="15.75" customHeight="1">
      <c r="D453" s="32"/>
    </row>
    <row r="454" spans="4:4" ht="15.75" customHeight="1">
      <c r="D454" s="32"/>
    </row>
    <row r="455" spans="4:4" ht="15.75" customHeight="1">
      <c r="D455" s="32"/>
    </row>
    <row r="456" spans="4:4" ht="15.75" customHeight="1">
      <c r="D456" s="32"/>
    </row>
    <row r="457" spans="4:4" ht="15.75" customHeight="1">
      <c r="D457" s="32"/>
    </row>
    <row r="458" spans="4:4" ht="15.75" customHeight="1">
      <c r="D458" s="32"/>
    </row>
    <row r="459" spans="4:4" ht="15.75" customHeight="1">
      <c r="D459" s="32"/>
    </row>
    <row r="460" spans="4:4" ht="15.75" customHeight="1">
      <c r="D460" s="32"/>
    </row>
    <row r="461" spans="4:4" ht="15.75" customHeight="1">
      <c r="D461" s="32"/>
    </row>
    <row r="462" spans="4:4" ht="15.75" customHeight="1">
      <c r="D462" s="32"/>
    </row>
    <row r="463" spans="4:4" ht="15.75" customHeight="1">
      <c r="D463" s="32"/>
    </row>
    <row r="464" spans="4:4" ht="15.75" customHeight="1">
      <c r="D464" s="32"/>
    </row>
    <row r="465" spans="4:4" ht="15.75" customHeight="1">
      <c r="D465" s="32"/>
    </row>
    <row r="466" spans="4:4" ht="15.75" customHeight="1">
      <c r="D466" s="32"/>
    </row>
    <row r="467" spans="4:4" ht="15.75" customHeight="1">
      <c r="D467" s="32"/>
    </row>
    <row r="468" spans="4:4" ht="15.75" customHeight="1">
      <c r="D468" s="32"/>
    </row>
    <row r="469" spans="4:4" ht="15.75" customHeight="1">
      <c r="D469" s="32"/>
    </row>
    <row r="470" spans="4:4" ht="15.75" customHeight="1">
      <c r="D470" s="32"/>
    </row>
    <row r="471" spans="4:4" ht="15.75" customHeight="1">
      <c r="D471" s="32"/>
    </row>
    <row r="472" spans="4:4" ht="15.75" customHeight="1">
      <c r="D472" s="32"/>
    </row>
    <row r="473" spans="4:4" ht="15.75" customHeight="1">
      <c r="D473" s="32"/>
    </row>
    <row r="474" spans="4:4" ht="15.75" customHeight="1">
      <c r="D474" s="32"/>
    </row>
    <row r="475" spans="4:4" ht="15.75" customHeight="1">
      <c r="D475" s="32"/>
    </row>
    <row r="476" spans="4:4" ht="15.75" customHeight="1">
      <c r="D476" s="32"/>
    </row>
    <row r="477" spans="4:4" ht="15.75" customHeight="1">
      <c r="D477" s="32"/>
    </row>
    <row r="478" spans="4:4" ht="15.75" customHeight="1">
      <c r="D478" s="32"/>
    </row>
    <row r="479" spans="4:4" ht="15.75" customHeight="1">
      <c r="D479" s="32"/>
    </row>
    <row r="480" spans="4:4" ht="15.75" customHeight="1">
      <c r="D480" s="32"/>
    </row>
    <row r="481" spans="4:4" ht="15.75" customHeight="1">
      <c r="D481" s="32"/>
    </row>
    <row r="482" spans="4:4" ht="15.75" customHeight="1">
      <c r="D482" s="32"/>
    </row>
    <row r="483" spans="4:4" ht="15.75" customHeight="1">
      <c r="D483" s="32"/>
    </row>
    <row r="484" spans="4:4" ht="15.75" customHeight="1">
      <c r="D484" s="32"/>
    </row>
    <row r="485" spans="4:4" ht="15.75" customHeight="1">
      <c r="D485" s="32"/>
    </row>
    <row r="486" spans="4:4" ht="15.75" customHeight="1">
      <c r="D486" s="32"/>
    </row>
    <row r="487" spans="4:4" ht="15.75" customHeight="1">
      <c r="D487" s="32"/>
    </row>
    <row r="488" spans="4:4" ht="15.75" customHeight="1">
      <c r="D488" s="32"/>
    </row>
    <row r="489" spans="4:4" ht="15.75" customHeight="1">
      <c r="D489" s="32"/>
    </row>
    <row r="490" spans="4:4" ht="15.75" customHeight="1">
      <c r="D490" s="32"/>
    </row>
    <row r="491" spans="4:4" ht="15.75" customHeight="1">
      <c r="D491" s="32"/>
    </row>
    <row r="492" spans="4:4" ht="15.75" customHeight="1">
      <c r="D492" s="32"/>
    </row>
    <row r="493" spans="4:4" ht="15.75" customHeight="1">
      <c r="D493" s="32"/>
    </row>
    <row r="494" spans="4:4" ht="15.75" customHeight="1">
      <c r="D494" s="32"/>
    </row>
    <row r="495" spans="4:4" ht="15.75" customHeight="1">
      <c r="D495" s="32"/>
    </row>
    <row r="496" spans="4:4" ht="15.75" customHeight="1">
      <c r="D496" s="32"/>
    </row>
    <row r="497" spans="4:4" ht="15.75" customHeight="1">
      <c r="D497" s="32"/>
    </row>
    <row r="498" spans="4:4" ht="15.75" customHeight="1">
      <c r="D498" s="32"/>
    </row>
    <row r="499" spans="4:4" ht="15.75" customHeight="1">
      <c r="D499" s="32"/>
    </row>
    <row r="500" spans="4:4" ht="15.75" customHeight="1">
      <c r="D500" s="32"/>
    </row>
    <row r="501" spans="4:4" ht="15.75" customHeight="1">
      <c r="D501" s="32"/>
    </row>
    <row r="502" spans="4:4" ht="15.75" customHeight="1">
      <c r="D502" s="32"/>
    </row>
    <row r="503" spans="4:4" ht="15.75" customHeight="1">
      <c r="D503" s="32"/>
    </row>
    <row r="504" spans="4:4" ht="15.75" customHeight="1">
      <c r="D504" s="32"/>
    </row>
    <row r="505" spans="4:4" ht="15.75" customHeight="1">
      <c r="D505" s="32"/>
    </row>
    <row r="506" spans="4:4" ht="15.75" customHeight="1">
      <c r="D506" s="32"/>
    </row>
    <row r="507" spans="4:4" ht="15.75" customHeight="1">
      <c r="D507" s="32"/>
    </row>
    <row r="508" spans="4:4" ht="15.75" customHeight="1">
      <c r="D508" s="32"/>
    </row>
    <row r="509" spans="4:4" ht="15.75" customHeight="1">
      <c r="D509" s="32"/>
    </row>
    <row r="510" spans="4:4" ht="15.75" customHeight="1">
      <c r="D510" s="32"/>
    </row>
    <row r="511" spans="4:4" ht="15.75" customHeight="1">
      <c r="D511" s="32"/>
    </row>
    <row r="512" spans="4:4" ht="15.75" customHeight="1">
      <c r="D512" s="32"/>
    </row>
    <row r="513" spans="4:4" ht="15.75" customHeight="1">
      <c r="D513" s="32"/>
    </row>
    <row r="514" spans="4:4" ht="15.75" customHeight="1">
      <c r="D514" s="32"/>
    </row>
    <row r="515" spans="4:4" ht="15.75" customHeight="1">
      <c r="D515" s="32"/>
    </row>
    <row r="516" spans="4:4" ht="15.75" customHeight="1">
      <c r="D516" s="32"/>
    </row>
    <row r="517" spans="4:4" ht="15.75" customHeight="1">
      <c r="D517" s="32"/>
    </row>
    <row r="518" spans="4:4" ht="15.75" customHeight="1">
      <c r="D518" s="32"/>
    </row>
    <row r="519" spans="4:4" ht="15.75" customHeight="1">
      <c r="D519" s="32"/>
    </row>
    <row r="520" spans="4:4" ht="15.75" customHeight="1">
      <c r="D520" s="32"/>
    </row>
    <row r="521" spans="4:4" ht="15.75" customHeight="1">
      <c r="D521" s="32"/>
    </row>
    <row r="522" spans="4:4" ht="15.75" customHeight="1">
      <c r="D522" s="32"/>
    </row>
    <row r="523" spans="4:4" ht="15.75" customHeight="1">
      <c r="D523" s="32"/>
    </row>
    <row r="524" spans="4:4" ht="15.75" customHeight="1">
      <c r="D524" s="32"/>
    </row>
    <row r="525" spans="4:4" ht="15.75" customHeight="1">
      <c r="D525" s="32"/>
    </row>
    <row r="526" spans="4:4" ht="15.75" customHeight="1">
      <c r="D526" s="32"/>
    </row>
    <row r="527" spans="4:4" ht="15.75" customHeight="1">
      <c r="D527" s="32"/>
    </row>
    <row r="528" spans="4:4" ht="15.75" customHeight="1">
      <c r="D528" s="32"/>
    </row>
    <row r="529" spans="4:4" ht="15.75" customHeight="1">
      <c r="D529" s="32"/>
    </row>
    <row r="530" spans="4:4" ht="15.75" customHeight="1">
      <c r="D530" s="32"/>
    </row>
    <row r="531" spans="4:4" ht="15.75" customHeight="1">
      <c r="D531" s="32"/>
    </row>
    <row r="532" spans="4:4" ht="15.75" customHeight="1">
      <c r="D532" s="32"/>
    </row>
    <row r="533" spans="4:4" ht="15.75" customHeight="1">
      <c r="D533" s="32"/>
    </row>
    <row r="534" spans="4:4" ht="15.75" customHeight="1">
      <c r="D534" s="32"/>
    </row>
    <row r="535" spans="4:4" ht="15.75" customHeight="1">
      <c r="D535" s="32"/>
    </row>
    <row r="536" spans="4:4" ht="15.75" customHeight="1">
      <c r="D536" s="32"/>
    </row>
    <row r="537" spans="4:4" ht="15.75" customHeight="1">
      <c r="D537" s="32"/>
    </row>
    <row r="538" spans="4:4" ht="15.75" customHeight="1">
      <c r="D538" s="32"/>
    </row>
    <row r="539" spans="4:4" ht="15.75" customHeight="1">
      <c r="D539" s="32"/>
    </row>
    <row r="540" spans="4:4" ht="15.75" customHeight="1">
      <c r="D540" s="32"/>
    </row>
    <row r="541" spans="4:4" ht="15.75" customHeight="1">
      <c r="D541" s="32"/>
    </row>
    <row r="542" spans="4:4" ht="15.75" customHeight="1">
      <c r="D542" s="32"/>
    </row>
    <row r="543" spans="4:4" ht="15.75" customHeight="1">
      <c r="D543" s="32"/>
    </row>
    <row r="544" spans="4:4" ht="15.75" customHeight="1">
      <c r="D544" s="32"/>
    </row>
    <row r="545" spans="4:4" ht="15.75" customHeight="1">
      <c r="D545" s="32"/>
    </row>
    <row r="546" spans="4:4" ht="15.75" customHeight="1">
      <c r="D546" s="32"/>
    </row>
    <row r="547" spans="4:4" ht="15.75" customHeight="1">
      <c r="D547" s="32"/>
    </row>
    <row r="548" spans="4:4" ht="15.75" customHeight="1">
      <c r="D548" s="32"/>
    </row>
    <row r="549" spans="4:4" ht="15.75" customHeight="1">
      <c r="D549" s="32"/>
    </row>
    <row r="550" spans="4:4" ht="15.75" customHeight="1">
      <c r="D550" s="32"/>
    </row>
    <row r="551" spans="4:4" ht="15.75" customHeight="1">
      <c r="D551" s="32"/>
    </row>
    <row r="552" spans="4:4" ht="15.75" customHeight="1">
      <c r="D552" s="32"/>
    </row>
    <row r="553" spans="4:4" ht="15.75" customHeight="1">
      <c r="D553" s="32"/>
    </row>
    <row r="554" spans="4:4" ht="15.75" customHeight="1">
      <c r="D554" s="32"/>
    </row>
    <row r="555" spans="4:4" ht="15.75" customHeight="1">
      <c r="D555" s="32"/>
    </row>
    <row r="556" spans="4:4" ht="15.75" customHeight="1">
      <c r="D556" s="32"/>
    </row>
    <row r="557" spans="4:4" ht="15.75" customHeight="1">
      <c r="D557" s="32"/>
    </row>
    <row r="558" spans="4:4" ht="15.75" customHeight="1">
      <c r="D558" s="32"/>
    </row>
    <row r="559" spans="4:4" ht="15.75" customHeight="1">
      <c r="D559" s="32"/>
    </row>
    <row r="560" spans="4:4" ht="15.75" customHeight="1">
      <c r="D560" s="32"/>
    </row>
    <row r="561" spans="4:4" ht="15.75" customHeight="1">
      <c r="D561" s="32"/>
    </row>
    <row r="562" spans="4:4" ht="15.75" customHeight="1">
      <c r="D562" s="32"/>
    </row>
    <row r="563" spans="4:4" ht="15.75" customHeight="1">
      <c r="D563" s="32"/>
    </row>
    <row r="564" spans="4:4" ht="15.75" customHeight="1">
      <c r="D564" s="32"/>
    </row>
    <row r="565" spans="4:4" ht="15.75" customHeight="1">
      <c r="D565" s="32"/>
    </row>
    <row r="566" spans="4:4" ht="15.75" customHeight="1">
      <c r="D566" s="32"/>
    </row>
    <row r="567" spans="4:4" ht="15.75" customHeight="1">
      <c r="D567" s="32"/>
    </row>
    <row r="568" spans="4:4" ht="15.75" customHeight="1">
      <c r="D568" s="32"/>
    </row>
    <row r="569" spans="4:4" ht="15.75" customHeight="1">
      <c r="D569" s="32"/>
    </row>
    <row r="570" spans="4:4" ht="15.75" customHeight="1">
      <c r="D570" s="32"/>
    </row>
    <row r="571" spans="4:4" ht="15.75" customHeight="1">
      <c r="D571" s="32"/>
    </row>
    <row r="572" spans="4:4" ht="15.75" customHeight="1">
      <c r="D572" s="32"/>
    </row>
    <row r="573" spans="4:4" ht="15.75" customHeight="1">
      <c r="D573" s="32"/>
    </row>
    <row r="574" spans="4:4" ht="15.75" customHeight="1">
      <c r="D574" s="32"/>
    </row>
    <row r="575" spans="4:4" ht="15.75" customHeight="1">
      <c r="D575" s="32"/>
    </row>
    <row r="576" spans="4:4" ht="15.75" customHeight="1">
      <c r="D576" s="32"/>
    </row>
    <row r="577" spans="4:4" ht="15.75" customHeight="1">
      <c r="D577" s="32"/>
    </row>
    <row r="578" spans="4:4" ht="15.75" customHeight="1">
      <c r="D578" s="32"/>
    </row>
    <row r="579" spans="4:4" ht="15.75" customHeight="1">
      <c r="D579" s="32"/>
    </row>
    <row r="580" spans="4:4" ht="15.75" customHeight="1">
      <c r="D580" s="32"/>
    </row>
    <row r="581" spans="4:4" ht="15.75" customHeight="1">
      <c r="D581" s="32"/>
    </row>
    <row r="582" spans="4:4" ht="15.75" customHeight="1">
      <c r="D582" s="32"/>
    </row>
    <row r="583" spans="4:4" ht="15.75" customHeight="1">
      <c r="D583" s="32"/>
    </row>
    <row r="584" spans="4:4" ht="15.75" customHeight="1">
      <c r="D584" s="32"/>
    </row>
    <row r="585" spans="4:4" ht="15.75" customHeight="1">
      <c r="D585" s="32"/>
    </row>
    <row r="586" spans="4:4" ht="15.75" customHeight="1">
      <c r="D586" s="32"/>
    </row>
    <row r="587" spans="4:4" ht="15.75" customHeight="1">
      <c r="D587" s="32"/>
    </row>
    <row r="588" spans="4:4" ht="15.75" customHeight="1">
      <c r="D588" s="32"/>
    </row>
    <row r="589" spans="4:4" ht="15.75" customHeight="1">
      <c r="D589" s="32"/>
    </row>
    <row r="590" spans="4:4" ht="15.75" customHeight="1">
      <c r="D590" s="32"/>
    </row>
    <row r="591" spans="4:4" ht="15.75" customHeight="1">
      <c r="D591" s="32"/>
    </row>
    <row r="592" spans="4:4" ht="15.75" customHeight="1">
      <c r="D592" s="32"/>
    </row>
    <row r="593" spans="4:4" ht="15.75" customHeight="1">
      <c r="D593" s="32"/>
    </row>
    <row r="594" spans="4:4" ht="15.75" customHeight="1">
      <c r="D594" s="32"/>
    </row>
    <row r="595" spans="4:4" ht="15.75" customHeight="1">
      <c r="D595" s="32"/>
    </row>
    <row r="596" spans="4:4" ht="15.75" customHeight="1">
      <c r="D596" s="32"/>
    </row>
    <row r="597" spans="4:4" ht="15.75" customHeight="1">
      <c r="D597" s="32"/>
    </row>
    <row r="598" spans="4:4" ht="15.75" customHeight="1">
      <c r="D598" s="32"/>
    </row>
    <row r="599" spans="4:4" ht="15.75" customHeight="1">
      <c r="D599" s="32"/>
    </row>
    <row r="600" spans="4:4" ht="15.75" customHeight="1">
      <c r="D600" s="32"/>
    </row>
    <row r="601" spans="4:4" ht="15.75" customHeight="1">
      <c r="D601" s="32"/>
    </row>
    <row r="602" spans="4:4" ht="15.75" customHeight="1">
      <c r="D602" s="32"/>
    </row>
    <row r="603" spans="4:4" ht="15.75" customHeight="1">
      <c r="D603" s="32"/>
    </row>
    <row r="604" spans="4:4" ht="15.75" customHeight="1">
      <c r="D604" s="32"/>
    </row>
    <row r="605" spans="4:4" ht="15.75" customHeight="1">
      <c r="D605" s="32"/>
    </row>
    <row r="606" spans="4:4" ht="15.75" customHeight="1">
      <c r="D606" s="32"/>
    </row>
    <row r="607" spans="4:4" ht="15.75" customHeight="1">
      <c r="D607" s="32"/>
    </row>
    <row r="608" spans="4:4" ht="15.75" customHeight="1">
      <c r="D608" s="32"/>
    </row>
    <row r="609" spans="4:4" ht="15.75" customHeight="1">
      <c r="D609" s="32"/>
    </row>
    <row r="610" spans="4:4" ht="15.75" customHeight="1">
      <c r="D610" s="32"/>
    </row>
    <row r="611" spans="4:4" ht="15.75" customHeight="1">
      <c r="D611" s="32"/>
    </row>
    <row r="612" spans="4:4" ht="15.75" customHeight="1">
      <c r="D612" s="32"/>
    </row>
    <row r="613" spans="4:4" ht="15.75" customHeight="1">
      <c r="D613" s="32"/>
    </row>
    <row r="614" spans="4:4" ht="15.75" customHeight="1">
      <c r="D614" s="32"/>
    </row>
    <row r="615" spans="4:4" ht="15.75" customHeight="1">
      <c r="D615" s="32"/>
    </row>
    <row r="616" spans="4:4" ht="15.75" customHeight="1">
      <c r="D616" s="32"/>
    </row>
    <row r="617" spans="4:4" ht="15.75" customHeight="1">
      <c r="D617" s="32"/>
    </row>
    <row r="618" spans="4:4" ht="15.75" customHeight="1">
      <c r="D618" s="32"/>
    </row>
    <row r="619" spans="4:4" ht="15.75" customHeight="1">
      <c r="D619" s="32"/>
    </row>
    <row r="620" spans="4:4" ht="15.75" customHeight="1">
      <c r="D620" s="32"/>
    </row>
    <row r="621" spans="4:4" ht="15.75" customHeight="1">
      <c r="D621" s="32"/>
    </row>
    <row r="622" spans="4:4" ht="15.75" customHeight="1">
      <c r="D622" s="32"/>
    </row>
    <row r="623" spans="4:4" ht="15.75" customHeight="1">
      <c r="D623" s="32"/>
    </row>
    <row r="624" spans="4:4" ht="15.75" customHeight="1">
      <c r="D624" s="32"/>
    </row>
    <row r="625" spans="4:4" ht="15.75" customHeight="1">
      <c r="D625" s="32"/>
    </row>
    <row r="626" spans="4:4" ht="15.75" customHeight="1">
      <c r="D626" s="32"/>
    </row>
    <row r="627" spans="4:4" ht="15.75" customHeight="1">
      <c r="D627" s="32"/>
    </row>
    <row r="628" spans="4:4" ht="15.75" customHeight="1">
      <c r="D628" s="32"/>
    </row>
    <row r="629" spans="4:4" ht="15.75" customHeight="1">
      <c r="D629" s="32"/>
    </row>
    <row r="630" spans="4:4" ht="15.75" customHeight="1">
      <c r="D630" s="32"/>
    </row>
    <row r="631" spans="4:4" ht="15.75" customHeight="1">
      <c r="D631" s="32"/>
    </row>
    <row r="632" spans="4:4" ht="15.75" customHeight="1">
      <c r="D632" s="32"/>
    </row>
    <row r="633" spans="4:4" ht="15.75" customHeight="1">
      <c r="D633" s="32"/>
    </row>
    <row r="634" spans="4:4" ht="15.75" customHeight="1">
      <c r="D634" s="32"/>
    </row>
    <row r="635" spans="4:4" ht="15.75" customHeight="1">
      <c r="D635" s="32"/>
    </row>
    <row r="636" spans="4:4" ht="15.75" customHeight="1">
      <c r="D636" s="32"/>
    </row>
    <row r="637" spans="4:4" ht="15.75" customHeight="1">
      <c r="D637" s="32"/>
    </row>
    <row r="638" spans="4:4" ht="15.75" customHeight="1">
      <c r="D638" s="32"/>
    </row>
    <row r="639" spans="4:4" ht="15.75" customHeight="1">
      <c r="D639" s="32"/>
    </row>
    <row r="640" spans="4:4" ht="15.75" customHeight="1">
      <c r="D640" s="32"/>
    </row>
    <row r="641" spans="4:4" ht="15.75" customHeight="1">
      <c r="D641" s="32"/>
    </row>
    <row r="642" spans="4:4" ht="15.75" customHeight="1">
      <c r="D642" s="32"/>
    </row>
    <row r="643" spans="4:4" ht="15.75" customHeight="1">
      <c r="D643" s="32"/>
    </row>
    <row r="644" spans="4:4" ht="15.75" customHeight="1">
      <c r="D644" s="32"/>
    </row>
    <row r="645" spans="4:4" ht="15.75" customHeight="1">
      <c r="D645" s="32"/>
    </row>
    <row r="646" spans="4:4" ht="15.75" customHeight="1">
      <c r="D646" s="32"/>
    </row>
    <row r="647" spans="4:4" ht="15.75" customHeight="1">
      <c r="D647" s="32"/>
    </row>
    <row r="648" spans="4:4" ht="15.75" customHeight="1">
      <c r="D648" s="32"/>
    </row>
    <row r="649" spans="4:4" ht="15.75" customHeight="1">
      <c r="D649" s="32"/>
    </row>
    <row r="650" spans="4:4" ht="15.75" customHeight="1">
      <c r="D650" s="32"/>
    </row>
    <row r="651" spans="4:4" ht="15.75" customHeight="1">
      <c r="D651" s="32"/>
    </row>
    <row r="652" spans="4:4" ht="15.75" customHeight="1">
      <c r="D652" s="32"/>
    </row>
    <row r="653" spans="4:4" ht="15.75" customHeight="1">
      <c r="D653" s="32"/>
    </row>
    <row r="654" spans="4:4" ht="15.75" customHeight="1">
      <c r="D654" s="32"/>
    </row>
    <row r="655" spans="4:4" ht="15.75" customHeight="1">
      <c r="D655" s="32"/>
    </row>
    <row r="656" spans="4:4" ht="15.75" customHeight="1">
      <c r="D656" s="32"/>
    </row>
    <row r="657" spans="4:4" ht="15.75" customHeight="1">
      <c r="D657" s="32"/>
    </row>
    <row r="658" spans="4:4" ht="15.75" customHeight="1">
      <c r="D658" s="32"/>
    </row>
    <row r="659" spans="4:4" ht="15.75" customHeight="1">
      <c r="D659" s="32"/>
    </row>
    <row r="660" spans="4:4" ht="15.75" customHeight="1">
      <c r="D660" s="32"/>
    </row>
    <row r="661" spans="4:4" ht="15.75" customHeight="1">
      <c r="D661" s="32"/>
    </row>
    <row r="662" spans="4:4" ht="15.75" customHeight="1">
      <c r="D662" s="32"/>
    </row>
    <row r="663" spans="4:4" ht="15.75" customHeight="1">
      <c r="D663" s="32"/>
    </row>
    <row r="664" spans="4:4" ht="15.75" customHeight="1">
      <c r="D664" s="32"/>
    </row>
    <row r="665" spans="4:4" ht="15.75" customHeight="1">
      <c r="D665" s="32"/>
    </row>
    <row r="666" spans="4:4" ht="15.75" customHeight="1">
      <c r="D666" s="32"/>
    </row>
    <row r="667" spans="4:4" ht="15.75" customHeight="1">
      <c r="D667" s="32"/>
    </row>
    <row r="668" spans="4:4" ht="15.75" customHeight="1">
      <c r="D668" s="32"/>
    </row>
    <row r="669" spans="4:4" ht="15.75" customHeight="1">
      <c r="D669" s="32"/>
    </row>
    <row r="670" spans="4:4" ht="15.75" customHeight="1">
      <c r="D670" s="32"/>
    </row>
    <row r="671" spans="4:4" ht="15.75" customHeight="1">
      <c r="D671" s="32"/>
    </row>
    <row r="672" spans="4:4" ht="15.75" customHeight="1">
      <c r="D672" s="32"/>
    </row>
    <row r="673" spans="4:4" ht="15.75" customHeight="1">
      <c r="D673" s="32"/>
    </row>
    <row r="674" spans="4:4" ht="15.75" customHeight="1">
      <c r="D674" s="32"/>
    </row>
    <row r="675" spans="4:4" ht="15.75" customHeight="1">
      <c r="D675" s="32"/>
    </row>
    <row r="676" spans="4:4" ht="15.75" customHeight="1">
      <c r="D676" s="32"/>
    </row>
    <row r="677" spans="4:4" ht="15.75" customHeight="1">
      <c r="D677" s="32"/>
    </row>
    <row r="678" spans="4:4" ht="15.75" customHeight="1">
      <c r="D678" s="32"/>
    </row>
    <row r="679" spans="4:4" ht="15.75" customHeight="1">
      <c r="D679" s="32"/>
    </row>
    <row r="680" spans="4:4" ht="15.75" customHeight="1">
      <c r="D680" s="32"/>
    </row>
    <row r="681" spans="4:4" ht="15.75" customHeight="1">
      <c r="D681" s="32"/>
    </row>
    <row r="682" spans="4:4" ht="15.75" customHeight="1">
      <c r="D682" s="32"/>
    </row>
    <row r="683" spans="4:4" ht="15.75" customHeight="1">
      <c r="D683" s="32"/>
    </row>
    <row r="684" spans="4:4" ht="15.75" customHeight="1">
      <c r="D684" s="32"/>
    </row>
    <row r="685" spans="4:4" ht="15.75" customHeight="1">
      <c r="D685" s="32"/>
    </row>
    <row r="686" spans="4:4" ht="15.75" customHeight="1">
      <c r="D686" s="32"/>
    </row>
    <row r="687" spans="4:4" ht="15.75" customHeight="1">
      <c r="D687" s="32"/>
    </row>
    <row r="688" spans="4:4" ht="15.75" customHeight="1">
      <c r="D688" s="32"/>
    </row>
    <row r="689" spans="4:4" ht="15.75" customHeight="1">
      <c r="D689" s="32"/>
    </row>
    <row r="690" spans="4:4" ht="15.75" customHeight="1">
      <c r="D690" s="32"/>
    </row>
    <row r="691" spans="4:4" ht="15.75" customHeight="1">
      <c r="D691" s="32"/>
    </row>
    <row r="692" spans="4:4" ht="15.75" customHeight="1">
      <c r="D692" s="32"/>
    </row>
    <row r="693" spans="4:4" ht="15.75" customHeight="1">
      <c r="D693" s="32"/>
    </row>
    <row r="694" spans="4:4" ht="15.75" customHeight="1">
      <c r="D694" s="32"/>
    </row>
    <row r="695" spans="4:4" ht="15.75" customHeight="1">
      <c r="D695" s="32"/>
    </row>
    <row r="696" spans="4:4" ht="15.75" customHeight="1">
      <c r="D696" s="32"/>
    </row>
    <row r="697" spans="4:4" ht="15.75" customHeight="1">
      <c r="D697" s="32"/>
    </row>
    <row r="698" spans="4:4" ht="15.75" customHeight="1">
      <c r="D698" s="32"/>
    </row>
    <row r="699" spans="4:4" ht="15.75" customHeight="1">
      <c r="D699" s="32"/>
    </row>
    <row r="700" spans="4:4" ht="15.75" customHeight="1">
      <c r="D700" s="32"/>
    </row>
    <row r="701" spans="4:4" ht="15.75" customHeight="1">
      <c r="D701" s="32"/>
    </row>
    <row r="702" spans="4:4" ht="15.75" customHeight="1">
      <c r="D702" s="32"/>
    </row>
    <row r="703" spans="4:4" ht="15.75" customHeight="1">
      <c r="D703" s="32"/>
    </row>
    <row r="704" spans="4:4" ht="15.75" customHeight="1">
      <c r="D704" s="32"/>
    </row>
    <row r="705" spans="4:4" ht="15.75" customHeight="1">
      <c r="D705" s="32"/>
    </row>
    <row r="706" spans="4:4" ht="15.75" customHeight="1">
      <c r="D706" s="32"/>
    </row>
    <row r="707" spans="4:4" ht="15.75" customHeight="1">
      <c r="D707" s="32"/>
    </row>
    <row r="708" spans="4:4" ht="15.75" customHeight="1">
      <c r="D708" s="32"/>
    </row>
    <row r="709" spans="4:4" ht="15.75" customHeight="1">
      <c r="D709" s="32"/>
    </row>
    <row r="710" spans="4:4" ht="15.75" customHeight="1">
      <c r="D710" s="32"/>
    </row>
    <row r="711" spans="4:4" ht="15.75" customHeight="1">
      <c r="D711" s="32"/>
    </row>
    <row r="712" spans="4:4" ht="15.75" customHeight="1">
      <c r="D712" s="32"/>
    </row>
    <row r="713" spans="4:4" ht="15.75" customHeight="1">
      <c r="D713" s="32"/>
    </row>
    <row r="714" spans="4:4" ht="15.75" customHeight="1">
      <c r="D714" s="32"/>
    </row>
    <row r="715" spans="4:4" ht="15.75" customHeight="1">
      <c r="D715" s="32"/>
    </row>
    <row r="716" spans="4:4" ht="15.75" customHeight="1">
      <c r="D716" s="32"/>
    </row>
    <row r="717" spans="4:4" ht="15.75" customHeight="1">
      <c r="D717" s="32"/>
    </row>
    <row r="718" spans="4:4" ht="15.75" customHeight="1">
      <c r="D718" s="32"/>
    </row>
    <row r="719" spans="4:4" ht="15.75" customHeight="1">
      <c r="D719" s="32"/>
    </row>
    <row r="720" spans="4:4" ht="15.75" customHeight="1">
      <c r="D720" s="32"/>
    </row>
    <row r="721" spans="4:4" ht="15.75" customHeight="1">
      <c r="D721" s="32"/>
    </row>
    <row r="722" spans="4:4" ht="15.75" customHeight="1">
      <c r="D722" s="32"/>
    </row>
    <row r="723" spans="4:4" ht="15.75" customHeight="1">
      <c r="D723" s="32"/>
    </row>
    <row r="724" spans="4:4" ht="15.75" customHeight="1">
      <c r="D724" s="32"/>
    </row>
    <row r="725" spans="4:4" ht="15.75" customHeight="1">
      <c r="D725" s="32"/>
    </row>
    <row r="726" spans="4:4" ht="15.75" customHeight="1">
      <c r="D726" s="32"/>
    </row>
    <row r="727" spans="4:4" ht="15.75" customHeight="1">
      <c r="D727" s="32"/>
    </row>
    <row r="728" spans="4:4" ht="15.75" customHeight="1">
      <c r="D728" s="32"/>
    </row>
    <row r="729" spans="4:4" ht="15.75" customHeight="1">
      <c r="D729" s="32"/>
    </row>
    <row r="730" spans="4:4" ht="15.75" customHeight="1">
      <c r="D730" s="32"/>
    </row>
    <row r="731" spans="4:4" ht="15.75" customHeight="1">
      <c r="D731" s="32"/>
    </row>
    <row r="732" spans="4:4" ht="15.75" customHeight="1">
      <c r="D732" s="32"/>
    </row>
    <row r="733" spans="4:4" ht="15.75" customHeight="1">
      <c r="D733" s="32"/>
    </row>
    <row r="734" spans="4:4" ht="15.75" customHeight="1">
      <c r="D734" s="32"/>
    </row>
    <row r="735" spans="4:4" ht="15.75" customHeight="1">
      <c r="D735" s="32"/>
    </row>
    <row r="736" spans="4:4" ht="15.75" customHeight="1">
      <c r="D736" s="32"/>
    </row>
    <row r="737" spans="4:4" ht="15.75" customHeight="1">
      <c r="D737" s="32"/>
    </row>
    <row r="738" spans="4:4" ht="15.75" customHeight="1">
      <c r="D738" s="32"/>
    </row>
    <row r="739" spans="4:4" ht="15.75" customHeight="1">
      <c r="D739" s="32"/>
    </row>
    <row r="740" spans="4:4" ht="15.75" customHeight="1">
      <c r="D740" s="32"/>
    </row>
    <row r="741" spans="4:4" ht="15.75" customHeight="1">
      <c r="D741" s="32"/>
    </row>
    <row r="742" spans="4:4" ht="15.75" customHeight="1">
      <c r="D742" s="32"/>
    </row>
    <row r="743" spans="4:4" ht="15.75" customHeight="1">
      <c r="D743" s="32"/>
    </row>
    <row r="744" spans="4:4" ht="15.75" customHeight="1">
      <c r="D744" s="32"/>
    </row>
    <row r="745" spans="4:4" ht="15.75" customHeight="1">
      <c r="D745" s="32"/>
    </row>
    <row r="746" spans="4:4" ht="15.75" customHeight="1">
      <c r="D746" s="32"/>
    </row>
    <row r="747" spans="4:4" ht="15.75" customHeight="1">
      <c r="D747" s="32"/>
    </row>
    <row r="748" spans="4:4" ht="15.75" customHeight="1">
      <c r="D748" s="32"/>
    </row>
    <row r="749" spans="4:4" ht="15.75" customHeight="1">
      <c r="D749" s="32"/>
    </row>
    <row r="750" spans="4:4" ht="15.75" customHeight="1">
      <c r="D750" s="32"/>
    </row>
    <row r="751" spans="4:4" ht="15.75" customHeight="1">
      <c r="D751" s="32"/>
    </row>
    <row r="752" spans="4:4" ht="15.75" customHeight="1">
      <c r="D752" s="32"/>
    </row>
    <row r="753" spans="4:4" ht="15.75" customHeight="1">
      <c r="D753" s="32"/>
    </row>
    <row r="754" spans="4:4" ht="15.75" customHeight="1">
      <c r="D754" s="32"/>
    </row>
    <row r="755" spans="4:4" ht="15.75" customHeight="1">
      <c r="D755" s="32"/>
    </row>
    <row r="756" spans="4:4" ht="15.75" customHeight="1">
      <c r="D756" s="32"/>
    </row>
    <row r="757" spans="4:4" ht="15.75" customHeight="1">
      <c r="D757" s="32"/>
    </row>
    <row r="758" spans="4:4" ht="15.75" customHeight="1">
      <c r="D758" s="32"/>
    </row>
    <row r="759" spans="4:4" ht="15.75" customHeight="1">
      <c r="D759" s="32"/>
    </row>
    <row r="760" spans="4:4" ht="15.75" customHeight="1">
      <c r="D760" s="32"/>
    </row>
    <row r="761" spans="4:4" ht="15.75" customHeight="1">
      <c r="D761" s="32"/>
    </row>
    <row r="762" spans="4:4" ht="15.75" customHeight="1">
      <c r="D762" s="32"/>
    </row>
    <row r="763" spans="4:4" ht="15.75" customHeight="1">
      <c r="D763" s="32"/>
    </row>
    <row r="764" spans="4:4" ht="15.75" customHeight="1">
      <c r="D764" s="32"/>
    </row>
    <row r="765" spans="4:4" ht="15.75" customHeight="1">
      <c r="D765" s="32"/>
    </row>
    <row r="766" spans="4:4" ht="15.75" customHeight="1">
      <c r="D766" s="32"/>
    </row>
    <row r="767" spans="4:4" ht="15.75" customHeight="1">
      <c r="D767" s="32"/>
    </row>
    <row r="768" spans="4:4" ht="15.75" customHeight="1">
      <c r="D768" s="32"/>
    </row>
    <row r="769" spans="4:4" ht="15.75" customHeight="1">
      <c r="D769" s="32"/>
    </row>
    <row r="770" spans="4:4" ht="15.75" customHeight="1">
      <c r="D770" s="32"/>
    </row>
    <row r="771" spans="4:4" ht="15.75" customHeight="1">
      <c r="D771" s="32"/>
    </row>
    <row r="772" spans="4:4" ht="15.75" customHeight="1">
      <c r="D772" s="32"/>
    </row>
    <row r="773" spans="4:4" ht="15.75" customHeight="1">
      <c r="D773" s="32"/>
    </row>
    <row r="774" spans="4:4" ht="15.75" customHeight="1">
      <c r="D774" s="32"/>
    </row>
    <row r="775" spans="4:4" ht="15.75" customHeight="1">
      <c r="D775" s="32"/>
    </row>
    <row r="776" spans="4:4" ht="15.75" customHeight="1">
      <c r="D776" s="32"/>
    </row>
    <row r="777" spans="4:4" ht="15.75" customHeight="1">
      <c r="D777" s="32"/>
    </row>
    <row r="778" spans="4:4" ht="15.75" customHeight="1">
      <c r="D778" s="32"/>
    </row>
    <row r="779" spans="4:4" ht="15.75" customHeight="1">
      <c r="D779" s="32"/>
    </row>
    <row r="780" spans="4:4" ht="15.75" customHeight="1">
      <c r="D780" s="32"/>
    </row>
    <row r="781" spans="4:4" ht="15.75" customHeight="1">
      <c r="D781" s="32"/>
    </row>
    <row r="782" spans="4:4" ht="15.75" customHeight="1">
      <c r="D782" s="32"/>
    </row>
    <row r="783" spans="4:4" ht="15.75" customHeight="1">
      <c r="D783" s="32"/>
    </row>
    <row r="784" spans="4:4" ht="15.75" customHeight="1">
      <c r="D784" s="32"/>
    </row>
    <row r="785" spans="4:4" ht="15.75" customHeight="1">
      <c r="D785" s="32"/>
    </row>
    <row r="786" spans="4:4" ht="15.75" customHeight="1">
      <c r="D786" s="32"/>
    </row>
    <row r="787" spans="4:4" ht="15.75" customHeight="1">
      <c r="D787" s="32"/>
    </row>
    <row r="788" spans="4:4" ht="15.75" customHeight="1">
      <c r="D788" s="32"/>
    </row>
    <row r="789" spans="4:4" ht="15.75" customHeight="1">
      <c r="D789" s="32"/>
    </row>
    <row r="790" spans="4:4" ht="15.75" customHeight="1">
      <c r="D790" s="32"/>
    </row>
    <row r="791" spans="4:4" ht="15.75" customHeight="1">
      <c r="D791" s="32"/>
    </row>
    <row r="792" spans="4:4" ht="15.75" customHeight="1">
      <c r="D792" s="32"/>
    </row>
    <row r="793" spans="4:4" ht="15.75" customHeight="1">
      <c r="D793" s="32"/>
    </row>
    <row r="794" spans="4:4" ht="15.75" customHeight="1">
      <c r="D794" s="32"/>
    </row>
    <row r="795" spans="4:4" ht="15.75" customHeight="1">
      <c r="D795" s="32"/>
    </row>
    <row r="796" spans="4:4" ht="15.75" customHeight="1">
      <c r="D796" s="32"/>
    </row>
    <row r="797" spans="4:4" ht="15.75" customHeight="1">
      <c r="D797" s="32"/>
    </row>
    <row r="798" spans="4:4" ht="15.75" customHeight="1">
      <c r="D798" s="32"/>
    </row>
    <row r="799" spans="4:4" ht="15.75" customHeight="1">
      <c r="D799" s="32"/>
    </row>
    <row r="800" spans="4:4" ht="15.75" customHeight="1">
      <c r="D800" s="32"/>
    </row>
    <row r="801" spans="4:4" ht="15.75" customHeight="1">
      <c r="D801" s="32"/>
    </row>
    <row r="802" spans="4:4" ht="15.75" customHeight="1">
      <c r="D802" s="32"/>
    </row>
    <row r="803" spans="4:4" ht="15.75" customHeight="1">
      <c r="D803" s="32"/>
    </row>
    <row r="804" spans="4:4" ht="15.75" customHeight="1">
      <c r="D804" s="32"/>
    </row>
    <row r="805" spans="4:4" ht="15.75" customHeight="1">
      <c r="D805" s="32"/>
    </row>
    <row r="806" spans="4:4" ht="15.75" customHeight="1">
      <c r="D806" s="32"/>
    </row>
    <row r="807" spans="4:4" ht="15.75" customHeight="1">
      <c r="D807" s="32"/>
    </row>
    <row r="808" spans="4:4" ht="15.75" customHeight="1">
      <c r="D808" s="32"/>
    </row>
    <row r="809" spans="4:4" ht="15.75" customHeight="1">
      <c r="D809" s="32"/>
    </row>
    <row r="810" spans="4:4" ht="15.75" customHeight="1">
      <c r="D810" s="32"/>
    </row>
    <row r="811" spans="4:4" ht="15.75" customHeight="1">
      <c r="D811" s="32"/>
    </row>
    <row r="812" spans="4:4" ht="15.75" customHeight="1">
      <c r="D812" s="32"/>
    </row>
    <row r="813" spans="4:4" ht="15.75" customHeight="1">
      <c r="D813" s="32"/>
    </row>
    <row r="814" spans="4:4" ht="15.75" customHeight="1">
      <c r="D814" s="32"/>
    </row>
    <row r="815" spans="4:4" ht="15.75" customHeight="1">
      <c r="D815" s="32"/>
    </row>
    <row r="816" spans="4:4" ht="15.75" customHeight="1">
      <c r="D816" s="32"/>
    </row>
    <row r="817" spans="4:4" ht="15.75" customHeight="1">
      <c r="D817" s="32"/>
    </row>
    <row r="818" spans="4:4" ht="15.75" customHeight="1">
      <c r="D818" s="32"/>
    </row>
    <row r="819" spans="4:4" ht="15.75" customHeight="1">
      <c r="D819" s="32"/>
    </row>
    <row r="820" spans="4:4" ht="15.75" customHeight="1">
      <c r="D820" s="32"/>
    </row>
    <row r="821" spans="4:4" ht="15.75" customHeight="1">
      <c r="D821" s="32"/>
    </row>
    <row r="822" spans="4:4" ht="15.75" customHeight="1">
      <c r="D822" s="32"/>
    </row>
    <row r="823" spans="4:4" ht="15.75" customHeight="1">
      <c r="D823" s="32"/>
    </row>
    <row r="824" spans="4:4" ht="15.75" customHeight="1">
      <c r="D824" s="32"/>
    </row>
    <row r="825" spans="4:4" ht="15.75" customHeight="1">
      <c r="D825" s="32"/>
    </row>
    <row r="826" spans="4:4" ht="15.75" customHeight="1">
      <c r="D826" s="32"/>
    </row>
    <row r="827" spans="4:4" ht="15.75" customHeight="1">
      <c r="D827" s="32"/>
    </row>
    <row r="828" spans="4:4" ht="15.75" customHeight="1">
      <c r="D828" s="32"/>
    </row>
    <row r="829" spans="4:4" ht="15.75" customHeight="1">
      <c r="D829" s="32"/>
    </row>
    <row r="830" spans="4:4" ht="15.75" customHeight="1">
      <c r="D830" s="32"/>
    </row>
    <row r="831" spans="4:4" ht="15.75" customHeight="1">
      <c r="D831" s="32"/>
    </row>
    <row r="832" spans="4:4" ht="15.75" customHeight="1">
      <c r="D832" s="32"/>
    </row>
    <row r="833" spans="4:4" ht="15.75" customHeight="1">
      <c r="D833" s="32"/>
    </row>
    <row r="834" spans="4:4" ht="15.75" customHeight="1">
      <c r="D834" s="32"/>
    </row>
    <row r="835" spans="4:4" ht="15.75" customHeight="1">
      <c r="D835" s="32"/>
    </row>
    <row r="836" spans="4:4" ht="15.75" customHeight="1">
      <c r="D836" s="32"/>
    </row>
    <row r="837" spans="4:4" ht="15.75" customHeight="1">
      <c r="D837" s="32"/>
    </row>
    <row r="838" spans="4:4" ht="15.75" customHeight="1">
      <c r="D838" s="32"/>
    </row>
    <row r="839" spans="4:4" ht="15.75" customHeight="1">
      <c r="D839" s="32"/>
    </row>
    <row r="840" spans="4:4" ht="15.75" customHeight="1">
      <c r="D840" s="32"/>
    </row>
    <row r="841" spans="4:4" ht="15.75" customHeight="1">
      <c r="D841" s="32"/>
    </row>
    <row r="842" spans="4:4" ht="15.75" customHeight="1">
      <c r="D842" s="32"/>
    </row>
    <row r="843" spans="4:4" ht="15.75" customHeight="1">
      <c r="D843" s="32"/>
    </row>
    <row r="844" spans="4:4" ht="15.75" customHeight="1">
      <c r="D844" s="32"/>
    </row>
    <row r="845" spans="4:4" ht="15.75" customHeight="1">
      <c r="D845" s="32"/>
    </row>
    <row r="846" spans="4:4" ht="15.75" customHeight="1">
      <c r="D846" s="32"/>
    </row>
    <row r="847" spans="4:4" ht="15.75" customHeight="1">
      <c r="D847" s="32"/>
    </row>
    <row r="848" spans="4:4" ht="15.75" customHeight="1">
      <c r="D848" s="32"/>
    </row>
    <row r="849" spans="4:4" ht="15.75" customHeight="1">
      <c r="D849" s="32"/>
    </row>
    <row r="850" spans="4:4" ht="15.75" customHeight="1">
      <c r="D850" s="32"/>
    </row>
    <row r="851" spans="4:4" ht="15.75" customHeight="1">
      <c r="D851" s="32"/>
    </row>
    <row r="852" spans="4:4" ht="15.75" customHeight="1">
      <c r="D852" s="32"/>
    </row>
    <row r="853" spans="4:4" ht="15.75" customHeight="1">
      <c r="D853" s="32"/>
    </row>
    <row r="854" spans="4:4" ht="15.75" customHeight="1">
      <c r="D854" s="32"/>
    </row>
    <row r="855" spans="4:4" ht="15.75" customHeight="1">
      <c r="D855" s="32"/>
    </row>
    <row r="856" spans="4:4" ht="15.75" customHeight="1">
      <c r="D856" s="32"/>
    </row>
    <row r="857" spans="4:4" ht="15.75" customHeight="1">
      <c r="D857" s="32"/>
    </row>
    <row r="858" spans="4:4" ht="15.75" customHeight="1">
      <c r="D858" s="32"/>
    </row>
    <row r="859" spans="4:4" ht="15.75" customHeight="1">
      <c r="D859" s="32"/>
    </row>
    <row r="860" spans="4:4" ht="15.75" customHeight="1">
      <c r="D860" s="32"/>
    </row>
    <row r="861" spans="4:4" ht="15.75" customHeight="1">
      <c r="D861" s="32"/>
    </row>
    <row r="862" spans="4:4" ht="15.75" customHeight="1">
      <c r="D862" s="32"/>
    </row>
    <row r="863" spans="4:4" ht="15.75" customHeight="1">
      <c r="D863" s="32"/>
    </row>
    <row r="864" spans="4:4" ht="15.75" customHeight="1">
      <c r="D864" s="32"/>
    </row>
    <row r="865" spans="4:4" ht="15.75" customHeight="1">
      <c r="D865" s="32"/>
    </row>
    <row r="866" spans="4:4" ht="15.75" customHeight="1">
      <c r="D866" s="32"/>
    </row>
    <row r="867" spans="4:4" ht="15.75" customHeight="1">
      <c r="D867" s="32"/>
    </row>
    <row r="868" spans="4:4" ht="15.75" customHeight="1">
      <c r="D868" s="32"/>
    </row>
    <row r="869" spans="4:4" ht="15.75" customHeight="1">
      <c r="D869" s="32"/>
    </row>
    <row r="870" spans="4:4" ht="15.75" customHeight="1">
      <c r="D870" s="32"/>
    </row>
    <row r="871" spans="4:4" ht="15.75" customHeight="1">
      <c r="D871" s="32"/>
    </row>
    <row r="872" spans="4:4" ht="15.75" customHeight="1">
      <c r="D872" s="32"/>
    </row>
    <row r="873" spans="4:4" ht="15.75" customHeight="1">
      <c r="D873" s="32"/>
    </row>
    <row r="874" spans="4:4" ht="15.75" customHeight="1">
      <c r="D874" s="32"/>
    </row>
    <row r="875" spans="4:4" ht="15.75" customHeight="1">
      <c r="D875" s="32"/>
    </row>
    <row r="876" spans="4:4" ht="15.75" customHeight="1">
      <c r="D876" s="32"/>
    </row>
    <row r="877" spans="4:4" ht="15.75" customHeight="1">
      <c r="D877" s="32"/>
    </row>
    <row r="878" spans="4:4" ht="15.75" customHeight="1">
      <c r="D878" s="32"/>
    </row>
    <row r="879" spans="4:4" ht="15.75" customHeight="1">
      <c r="D879" s="32"/>
    </row>
    <row r="880" spans="4:4" ht="15.75" customHeight="1">
      <c r="D880" s="32"/>
    </row>
    <row r="881" spans="4:4" ht="15.75" customHeight="1">
      <c r="D881" s="32"/>
    </row>
    <row r="882" spans="4:4" ht="15.75" customHeight="1">
      <c r="D882" s="32"/>
    </row>
    <row r="883" spans="4:4" ht="15.75" customHeight="1">
      <c r="D883" s="32"/>
    </row>
    <row r="884" spans="4:4" ht="15.75" customHeight="1">
      <c r="D884" s="32"/>
    </row>
    <row r="885" spans="4:4" ht="15.75" customHeight="1">
      <c r="D885" s="32"/>
    </row>
    <row r="886" spans="4:4" ht="15.75" customHeight="1">
      <c r="D886" s="32"/>
    </row>
    <row r="887" spans="4:4" ht="15.75" customHeight="1">
      <c r="D887" s="32"/>
    </row>
    <row r="888" spans="4:4" ht="15.75" customHeight="1">
      <c r="D888" s="32"/>
    </row>
    <row r="889" spans="4:4" ht="15.75" customHeight="1">
      <c r="D889" s="32"/>
    </row>
    <row r="890" spans="4:4" ht="15.75" customHeight="1">
      <c r="D890" s="32"/>
    </row>
    <row r="891" spans="4:4" ht="15.75" customHeight="1">
      <c r="D891" s="32"/>
    </row>
    <row r="892" spans="4:4" ht="15.75" customHeight="1">
      <c r="D892" s="32"/>
    </row>
    <row r="893" spans="4:4" ht="15.75" customHeight="1">
      <c r="D893" s="32"/>
    </row>
    <row r="894" spans="4:4" ht="15.75" customHeight="1">
      <c r="D894" s="32"/>
    </row>
    <row r="895" spans="4:4" ht="15.75" customHeight="1">
      <c r="D895" s="32"/>
    </row>
    <row r="896" spans="4:4" ht="15.75" customHeight="1">
      <c r="D896" s="32"/>
    </row>
    <row r="897" spans="4:4" ht="15.75" customHeight="1">
      <c r="D897" s="32"/>
    </row>
    <row r="898" spans="4:4" ht="15.75" customHeight="1">
      <c r="D898" s="32"/>
    </row>
    <row r="899" spans="4:4" ht="15.75" customHeight="1">
      <c r="D899" s="32"/>
    </row>
    <row r="900" spans="4:4" ht="15.75" customHeight="1">
      <c r="D900" s="32"/>
    </row>
    <row r="901" spans="4:4" ht="15.75" customHeight="1">
      <c r="D901" s="32"/>
    </row>
    <row r="902" spans="4:4" ht="15.75" customHeight="1">
      <c r="D902" s="32"/>
    </row>
    <row r="903" spans="4:4" ht="15.75" customHeight="1">
      <c r="D903" s="32"/>
    </row>
    <row r="904" spans="4:4" ht="15.75" customHeight="1">
      <c r="D904" s="32"/>
    </row>
    <row r="905" spans="4:4" ht="15.75" customHeight="1">
      <c r="D905" s="32"/>
    </row>
    <row r="906" spans="4:4" ht="15.75" customHeight="1">
      <c r="D906" s="32"/>
    </row>
    <row r="907" spans="4:4" ht="15.75" customHeight="1">
      <c r="D907" s="32"/>
    </row>
    <row r="908" spans="4:4" ht="15.75" customHeight="1">
      <c r="D908" s="32"/>
    </row>
    <row r="909" spans="4:4" ht="15.75" customHeight="1">
      <c r="D909" s="32"/>
    </row>
    <row r="910" spans="4:4" ht="15.75" customHeight="1">
      <c r="D910" s="32"/>
    </row>
    <row r="911" spans="4:4" ht="15.75" customHeight="1">
      <c r="D911" s="32"/>
    </row>
    <row r="912" spans="4:4" ht="15.75" customHeight="1">
      <c r="D912" s="32"/>
    </row>
    <row r="913" spans="4:4" ht="15.75" customHeight="1">
      <c r="D913" s="32"/>
    </row>
    <row r="914" spans="4:4" ht="15.75" customHeight="1">
      <c r="D914" s="32"/>
    </row>
    <row r="915" spans="4:4" ht="15.75" customHeight="1">
      <c r="D915" s="32"/>
    </row>
    <row r="916" spans="4:4" ht="15.75" customHeight="1">
      <c r="D916" s="32"/>
    </row>
    <row r="917" spans="4:4" ht="15.75" customHeight="1">
      <c r="D917" s="32"/>
    </row>
    <row r="918" spans="4:4" ht="15.75" customHeight="1">
      <c r="D918" s="32"/>
    </row>
    <row r="919" spans="4:4" ht="15.75" customHeight="1">
      <c r="D919" s="32"/>
    </row>
    <row r="920" spans="4:4" ht="15.75" customHeight="1">
      <c r="D920" s="32"/>
    </row>
    <row r="921" spans="4:4" ht="15.75" customHeight="1">
      <c r="D921" s="32"/>
    </row>
    <row r="922" spans="4:4" ht="15.75" customHeight="1">
      <c r="D922" s="32"/>
    </row>
    <row r="923" spans="4:4" ht="15.75" customHeight="1">
      <c r="D923" s="32"/>
    </row>
    <row r="924" spans="4:4" ht="15.75" customHeight="1">
      <c r="D924" s="32"/>
    </row>
    <row r="925" spans="4:4" ht="15.75" customHeight="1">
      <c r="D925" s="32"/>
    </row>
    <row r="926" spans="4:4" ht="15.75" customHeight="1">
      <c r="D926" s="32"/>
    </row>
    <row r="927" spans="4:4" ht="15.75" customHeight="1">
      <c r="D927" s="32"/>
    </row>
    <row r="928" spans="4:4" ht="15.75" customHeight="1">
      <c r="D928" s="32"/>
    </row>
    <row r="929" spans="4:4" ht="15.75" customHeight="1">
      <c r="D929" s="32"/>
    </row>
    <row r="930" spans="4:4" ht="15.75" customHeight="1">
      <c r="D930" s="32"/>
    </row>
    <row r="931" spans="4:4" ht="15.75" customHeight="1">
      <c r="D931" s="32"/>
    </row>
    <row r="932" spans="4:4" ht="15.75" customHeight="1">
      <c r="D932" s="32"/>
    </row>
    <row r="933" spans="4:4" ht="15.75" customHeight="1">
      <c r="D933" s="32"/>
    </row>
    <row r="934" spans="4:4" ht="15.75" customHeight="1">
      <c r="D934" s="32"/>
    </row>
    <row r="935" spans="4:4" ht="15.75" customHeight="1">
      <c r="D935" s="32"/>
    </row>
    <row r="936" spans="4:4" ht="15.75" customHeight="1">
      <c r="D936" s="32"/>
    </row>
    <row r="937" spans="4:4" ht="15.75" customHeight="1">
      <c r="D937" s="32"/>
    </row>
    <row r="938" spans="4:4" ht="15.75" customHeight="1">
      <c r="D938" s="32"/>
    </row>
    <row r="939" spans="4:4" ht="15.75" customHeight="1">
      <c r="D939" s="32"/>
    </row>
    <row r="940" spans="4:4" ht="15.75" customHeight="1">
      <c r="D940" s="32"/>
    </row>
    <row r="941" spans="4:4" ht="15.75" customHeight="1">
      <c r="D941" s="32"/>
    </row>
    <row r="942" spans="4:4" ht="15.75" customHeight="1">
      <c r="D942" s="32"/>
    </row>
    <row r="943" spans="4:4" ht="15.75" customHeight="1">
      <c r="D943" s="32"/>
    </row>
    <row r="944" spans="4:4" ht="15.75" customHeight="1">
      <c r="D944" s="32"/>
    </row>
    <row r="945" spans="4:4" ht="15.75" customHeight="1">
      <c r="D945" s="32"/>
    </row>
    <row r="946" spans="4:4" ht="15.75" customHeight="1">
      <c r="D946" s="32"/>
    </row>
    <row r="947" spans="4:4" ht="15.75" customHeight="1">
      <c r="D947" s="32"/>
    </row>
    <row r="948" spans="4:4" ht="15.75" customHeight="1">
      <c r="D948" s="32"/>
    </row>
    <row r="949" spans="4:4" ht="15.75" customHeight="1">
      <c r="D949" s="32"/>
    </row>
    <row r="950" spans="4:4" ht="15.75" customHeight="1">
      <c r="D950" s="32"/>
    </row>
    <row r="951" spans="4:4" ht="15.75" customHeight="1">
      <c r="D951" s="32"/>
    </row>
    <row r="952" spans="4:4" ht="15.75" customHeight="1">
      <c r="D952" s="32"/>
    </row>
    <row r="953" spans="4:4" ht="15.75" customHeight="1">
      <c r="D953" s="32"/>
    </row>
    <row r="954" spans="4:4" ht="15.75" customHeight="1">
      <c r="D954" s="32"/>
    </row>
    <row r="955" spans="4:4" ht="15.75" customHeight="1">
      <c r="D955" s="32"/>
    </row>
    <row r="956" spans="4:4" ht="15.75" customHeight="1">
      <c r="D956" s="32"/>
    </row>
    <row r="957" spans="4:4" ht="15.75" customHeight="1">
      <c r="D957" s="32"/>
    </row>
    <row r="958" spans="4:4" ht="15.75" customHeight="1">
      <c r="D958" s="32"/>
    </row>
    <row r="959" spans="4:4" ht="15.75" customHeight="1">
      <c r="D959" s="32"/>
    </row>
    <row r="960" spans="4:4" ht="15.75" customHeight="1">
      <c r="D960" s="32"/>
    </row>
    <row r="961" spans="4:4" ht="15.75" customHeight="1">
      <c r="D961" s="32"/>
    </row>
    <row r="962" spans="4:4" ht="15.75" customHeight="1">
      <c r="D962" s="32"/>
    </row>
    <row r="963" spans="4:4" ht="15.75" customHeight="1">
      <c r="D963" s="32"/>
    </row>
    <row r="964" spans="4:4" ht="15.75" customHeight="1">
      <c r="D964" s="32"/>
    </row>
    <row r="965" spans="4:4" ht="15.75" customHeight="1">
      <c r="D965" s="32"/>
    </row>
    <row r="966" spans="4:4" ht="15.75" customHeight="1">
      <c r="D966" s="32"/>
    </row>
    <row r="967" spans="4:4" ht="15.75" customHeight="1">
      <c r="D967" s="32"/>
    </row>
    <row r="968" spans="4:4" ht="15.75" customHeight="1">
      <c r="D968" s="32"/>
    </row>
    <row r="969" spans="4:4" ht="15.75" customHeight="1">
      <c r="D969" s="32"/>
    </row>
    <row r="970" spans="4:4" ht="15.75" customHeight="1">
      <c r="D970" s="32"/>
    </row>
    <row r="971" spans="4:4" ht="15.75" customHeight="1">
      <c r="D971" s="32"/>
    </row>
    <row r="972" spans="4:4" ht="15.75" customHeight="1">
      <c r="D972" s="32"/>
    </row>
    <row r="973" spans="4:4" ht="15.75" customHeight="1">
      <c r="D973" s="32"/>
    </row>
    <row r="974" spans="4:4" ht="15.75" customHeight="1">
      <c r="D974" s="32"/>
    </row>
    <row r="975" spans="4:4" ht="15.75" customHeight="1">
      <c r="D975" s="32"/>
    </row>
    <row r="976" spans="4:4" ht="15.75" customHeight="1">
      <c r="D976" s="32"/>
    </row>
    <row r="977" spans="4:4" ht="15.75" customHeight="1">
      <c r="D977" s="32"/>
    </row>
    <row r="978" spans="4:4" ht="15.75" customHeight="1">
      <c r="D978" s="32"/>
    </row>
    <row r="979" spans="4:4" ht="15.75" customHeight="1">
      <c r="D979" s="32"/>
    </row>
    <row r="980" spans="4:4" ht="15.75" customHeight="1">
      <c r="D980" s="32"/>
    </row>
    <row r="981" spans="4:4" ht="15.75" customHeight="1">
      <c r="D981" s="32"/>
    </row>
    <row r="982" spans="4:4" ht="15.75" customHeight="1">
      <c r="D982" s="32"/>
    </row>
    <row r="983" spans="4:4" ht="15.75" customHeight="1">
      <c r="D983" s="32"/>
    </row>
    <row r="984" spans="4:4" ht="15.75" customHeight="1">
      <c r="D984" s="32"/>
    </row>
    <row r="985" spans="4:4" ht="15.75" customHeight="1">
      <c r="D985" s="32"/>
    </row>
    <row r="986" spans="4:4" ht="15.75" customHeight="1">
      <c r="D986" s="32"/>
    </row>
    <row r="987" spans="4:4" ht="15.75" customHeight="1">
      <c r="D987" s="32"/>
    </row>
    <row r="988" spans="4:4" ht="15.75" customHeight="1">
      <c r="D988" s="32"/>
    </row>
    <row r="989" spans="4:4" ht="15.75" customHeight="1">
      <c r="D989" s="32"/>
    </row>
    <row r="990" spans="4:4" ht="15.75" customHeight="1">
      <c r="D990" s="32"/>
    </row>
    <row r="991" spans="4:4" ht="15.75" customHeight="1">
      <c r="D991" s="32"/>
    </row>
    <row r="992" spans="4:4" ht="15.75" customHeight="1">
      <c r="D992" s="32"/>
    </row>
    <row r="993" spans="4:4" ht="15.75" customHeight="1">
      <c r="D993" s="32"/>
    </row>
    <row r="994" spans="4:4" ht="15.75" customHeight="1">
      <c r="D994" s="32"/>
    </row>
    <row r="995" spans="4:4" ht="15.75" customHeight="1">
      <c r="D995" s="32"/>
    </row>
    <row r="996" spans="4:4" ht="15.75" customHeight="1">
      <c r="D996" s="32"/>
    </row>
    <row r="997" spans="4:4" ht="15.75" customHeight="1">
      <c r="D997" s="32"/>
    </row>
    <row r="998" spans="4:4" ht="15.75" customHeight="1">
      <c r="D998" s="32"/>
    </row>
    <row r="999" spans="4:4" ht="15.75" customHeight="1">
      <c r="D999" s="32"/>
    </row>
    <row r="1000" spans="4:4" ht="15.75" customHeight="1">
      <c r="D1000" s="32"/>
    </row>
    <row r="1001" spans="4:4" ht="15.75" customHeight="1">
      <c r="D1001" s="32"/>
    </row>
  </sheetData>
  <hyperlinks>
    <hyperlink ref="A1" location="Summary!A1" display="Summary"/>
  </hyperlinks>
  <pageMargins left="0.75" right="0.75" top="1" bottom="1" header="0" footer="0"/>
  <pageSetup orientation="landscape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2"/>
  <sheetViews>
    <sheetView workbookViewId="0">
      <selection activeCell="A3" sqref="A3:E8"/>
    </sheetView>
  </sheetViews>
  <sheetFormatPr defaultColWidth="14.453125" defaultRowHeight="15" customHeight="1"/>
  <cols>
    <col min="1" max="1" width="15" customWidth="1"/>
    <col min="2" max="2" width="22.7265625" customWidth="1"/>
    <col min="3" max="3" width="11.54296875" customWidth="1"/>
    <col min="4" max="4" width="17.54296875" customWidth="1"/>
    <col min="5" max="26" width="8.7265625" customWidth="1"/>
  </cols>
  <sheetData>
    <row r="1" spans="1:5" ht="14.5">
      <c r="A1" s="31" t="s">
        <v>32</v>
      </c>
      <c r="C1" s="118" t="s">
        <v>271</v>
      </c>
    </row>
    <row r="2" spans="1:5" ht="14.5">
      <c r="A2" s="33" t="s">
        <v>33</v>
      </c>
      <c r="B2" s="34" t="s">
        <v>34</v>
      </c>
      <c r="C2" s="34" t="s">
        <v>35</v>
      </c>
      <c r="D2" s="34" t="s">
        <v>45</v>
      </c>
      <c r="E2" s="34" t="s">
        <v>37</v>
      </c>
    </row>
    <row r="3" spans="1:5" ht="14.5">
      <c r="A3" s="36" t="s">
        <v>373</v>
      </c>
      <c r="B3" s="109" t="s">
        <v>272</v>
      </c>
      <c r="C3" s="110" t="s">
        <v>278</v>
      </c>
      <c r="D3" s="41" t="s">
        <v>46</v>
      </c>
      <c r="E3" s="58" t="s">
        <v>39</v>
      </c>
    </row>
    <row r="4" spans="1:5" ht="14.5">
      <c r="A4" s="83" t="s">
        <v>374</v>
      </c>
      <c r="B4" s="126" t="s">
        <v>273</v>
      </c>
      <c r="C4" s="106">
        <v>1201</v>
      </c>
      <c r="D4" s="41" t="s">
        <v>46</v>
      </c>
      <c r="E4" s="58" t="s">
        <v>39</v>
      </c>
    </row>
    <row r="5" spans="1:5" ht="14.5">
      <c r="A5" s="83" t="s">
        <v>375</v>
      </c>
      <c r="B5" s="127" t="s">
        <v>274</v>
      </c>
      <c r="C5" s="106">
        <v>1256</v>
      </c>
      <c r="D5" s="41" t="s">
        <v>47</v>
      </c>
      <c r="E5" s="58" t="s">
        <v>39</v>
      </c>
    </row>
    <row r="6" spans="1:5" ht="14.5">
      <c r="A6" s="83" t="s">
        <v>376</v>
      </c>
      <c r="B6" s="127" t="s">
        <v>286</v>
      </c>
      <c r="C6" s="106">
        <v>1233</v>
      </c>
      <c r="D6" s="41" t="s">
        <v>47</v>
      </c>
      <c r="E6" s="58" t="s">
        <v>39</v>
      </c>
    </row>
    <row r="7" spans="1:5" ht="14.5">
      <c r="A7" s="83" t="s">
        <v>377</v>
      </c>
      <c r="B7" s="102" t="s">
        <v>276</v>
      </c>
      <c r="C7" s="114">
        <v>1330</v>
      </c>
      <c r="D7" s="41" t="s">
        <v>48</v>
      </c>
      <c r="E7" s="58" t="s">
        <v>39</v>
      </c>
    </row>
    <row r="8" spans="1:5" ht="14.5">
      <c r="A8" s="83" t="s">
        <v>378</v>
      </c>
      <c r="B8" s="102" t="s">
        <v>277</v>
      </c>
      <c r="C8" s="114">
        <v>1345</v>
      </c>
      <c r="D8" s="41" t="s">
        <v>48</v>
      </c>
      <c r="E8" s="58" t="s">
        <v>39</v>
      </c>
    </row>
    <row r="9" spans="1:5" ht="14.5">
      <c r="A9" s="36"/>
      <c r="B9" s="59"/>
      <c r="C9" s="58"/>
      <c r="D9" s="41"/>
      <c r="E9" s="58"/>
    </row>
    <row r="10" spans="1:5" ht="14.5">
      <c r="A10" s="36"/>
      <c r="B10" s="59"/>
      <c r="C10" s="58"/>
      <c r="D10" s="41"/>
      <c r="E10" s="58"/>
    </row>
    <row r="11" spans="1:5" ht="14.5">
      <c r="A11" s="53" t="s">
        <v>7</v>
      </c>
      <c r="B11" s="23">
        <f>COUNTA(B3:B10)</f>
        <v>6</v>
      </c>
      <c r="C11" s="54"/>
      <c r="D11" s="54"/>
      <c r="E11" s="60"/>
    </row>
    <row r="14" spans="1:5" ht="14.5">
      <c r="B14" s="6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hyperlinks>
    <hyperlink ref="A1" location="Summary!A1" display="Summary"/>
  </hyperlink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1"/>
  <sheetViews>
    <sheetView topLeftCell="C1" workbookViewId="0">
      <pane ySplit="2" topLeftCell="A3" activePane="bottomLeft" state="frozen"/>
      <selection pane="bottomLeft" activeCell="E3" sqref="E3:E8"/>
    </sheetView>
  </sheetViews>
  <sheetFormatPr defaultColWidth="14.453125" defaultRowHeight="15" customHeight="1"/>
  <cols>
    <col min="1" max="1" width="15" customWidth="1"/>
    <col min="2" max="2" width="26" customWidth="1"/>
    <col min="3" max="3" width="24.81640625" customWidth="1"/>
    <col min="4" max="4" width="19.1796875" customWidth="1"/>
    <col min="5" max="26" width="8.7265625" customWidth="1"/>
  </cols>
  <sheetData>
    <row r="1" spans="1:6" ht="14.5">
      <c r="A1" s="31" t="s">
        <v>32</v>
      </c>
      <c r="C1" s="118" t="s">
        <v>265</v>
      </c>
    </row>
    <row r="2" spans="1:6" ht="14.5">
      <c r="A2" s="33" t="s">
        <v>33</v>
      </c>
      <c r="B2" s="34" t="s">
        <v>34</v>
      </c>
      <c r="C2" s="34" t="s">
        <v>35</v>
      </c>
      <c r="D2" s="34" t="s">
        <v>45</v>
      </c>
      <c r="E2" s="34" t="s">
        <v>37</v>
      </c>
    </row>
    <row r="3" spans="1:6" ht="14.5">
      <c r="A3" s="36" t="s">
        <v>379</v>
      </c>
      <c r="B3" s="109" t="s">
        <v>266</v>
      </c>
      <c r="C3" s="110" t="s">
        <v>270</v>
      </c>
      <c r="D3" s="41" t="s">
        <v>50</v>
      </c>
      <c r="E3" s="58" t="s">
        <v>39</v>
      </c>
      <c r="F3" s="62" t="s">
        <v>51</v>
      </c>
    </row>
    <row r="4" spans="1:6" ht="14.5">
      <c r="A4" s="83" t="s">
        <v>380</v>
      </c>
      <c r="B4" s="102" t="s">
        <v>267</v>
      </c>
      <c r="C4" s="106">
        <v>1035</v>
      </c>
      <c r="D4" s="41" t="s">
        <v>52</v>
      </c>
      <c r="E4" s="58" t="s">
        <v>39</v>
      </c>
    </row>
    <row r="5" spans="1:6" ht="14.5">
      <c r="A5" s="83" t="s">
        <v>381</v>
      </c>
      <c r="B5" s="102" t="s">
        <v>49</v>
      </c>
      <c r="C5" s="106">
        <v>1268</v>
      </c>
      <c r="D5" s="41" t="s">
        <v>53</v>
      </c>
      <c r="E5" s="58" t="s">
        <v>39</v>
      </c>
    </row>
    <row r="6" spans="1:6" ht="14.5">
      <c r="A6" s="83" t="s">
        <v>382</v>
      </c>
      <c r="B6" s="102" t="s">
        <v>268</v>
      </c>
      <c r="C6" s="125">
        <v>1365</v>
      </c>
      <c r="D6" s="41" t="s">
        <v>54</v>
      </c>
      <c r="E6" s="58" t="s">
        <v>39</v>
      </c>
    </row>
    <row r="7" spans="1:6" ht="14.5">
      <c r="A7" s="83" t="s">
        <v>383</v>
      </c>
      <c r="B7" s="113" t="s">
        <v>269</v>
      </c>
      <c r="C7" s="97">
        <v>1385</v>
      </c>
      <c r="D7" s="41" t="s">
        <v>55</v>
      </c>
      <c r="E7" s="58" t="s">
        <v>39</v>
      </c>
    </row>
    <row r="8" spans="1:6" ht="14.5">
      <c r="A8" s="83" t="s">
        <v>384</v>
      </c>
      <c r="B8" s="60"/>
      <c r="C8" s="38"/>
      <c r="D8" s="41" t="s">
        <v>56</v>
      </c>
      <c r="E8" s="58" t="s">
        <v>359</v>
      </c>
    </row>
    <row r="9" spans="1:6" ht="14.5">
      <c r="A9" s="36"/>
      <c r="B9" s="41"/>
      <c r="C9" s="38"/>
      <c r="D9" s="41"/>
      <c r="E9" s="58"/>
    </row>
    <row r="10" spans="1:6" ht="14.5">
      <c r="A10" s="53" t="s">
        <v>7</v>
      </c>
      <c r="B10" s="23">
        <f>COUNTA(B3:B9)</f>
        <v>5</v>
      </c>
      <c r="C10" s="54"/>
      <c r="D10" s="54"/>
      <c r="E10" s="60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hyperlinks>
    <hyperlink ref="A1" location="Summary!A1" display="Summary"/>
  </hyperlinks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workbookViewId="0">
      <pane ySplit="2" topLeftCell="A3" activePane="bottomLeft" state="frozen"/>
      <selection pane="bottomLeft" activeCell="A3" sqref="A3:E8"/>
    </sheetView>
  </sheetViews>
  <sheetFormatPr defaultColWidth="14.453125" defaultRowHeight="15" customHeight="1"/>
  <cols>
    <col min="1" max="1" width="16.1796875" customWidth="1"/>
    <col min="2" max="2" width="27" customWidth="1"/>
    <col min="3" max="3" width="14.54296875" customWidth="1"/>
    <col min="4" max="4" width="15.7265625" customWidth="1"/>
    <col min="5" max="5" width="8.7265625" customWidth="1"/>
    <col min="6" max="6" width="15.81640625" customWidth="1"/>
    <col min="7" max="26" width="8.7265625" customWidth="1"/>
  </cols>
  <sheetData>
    <row r="1" spans="1:5" ht="14.5">
      <c r="A1" s="31" t="s">
        <v>32</v>
      </c>
      <c r="D1" s="118" t="s">
        <v>258</v>
      </c>
    </row>
    <row r="2" spans="1:5" ht="14.5">
      <c r="A2" s="33" t="s">
        <v>33</v>
      </c>
      <c r="B2" s="34" t="s">
        <v>34</v>
      </c>
      <c r="C2" s="34" t="s">
        <v>35</v>
      </c>
      <c r="D2" s="34" t="s">
        <v>45</v>
      </c>
      <c r="E2" s="34" t="s">
        <v>37</v>
      </c>
    </row>
    <row r="3" spans="1:5" ht="14.5">
      <c r="A3" s="83" t="s">
        <v>385</v>
      </c>
      <c r="B3" s="124" t="s">
        <v>259</v>
      </c>
      <c r="C3" s="106">
        <v>1187</v>
      </c>
      <c r="D3" s="41" t="s">
        <v>57</v>
      </c>
      <c r="E3" s="58" t="s">
        <v>39</v>
      </c>
    </row>
    <row r="4" spans="1:5" ht="14.5">
      <c r="A4" s="83" t="s">
        <v>386</v>
      </c>
      <c r="B4" s="102" t="s">
        <v>260</v>
      </c>
      <c r="C4" s="106">
        <v>1307</v>
      </c>
      <c r="D4" s="41" t="s">
        <v>58</v>
      </c>
      <c r="E4" s="58" t="s">
        <v>39</v>
      </c>
    </row>
    <row r="5" spans="1:5" ht="14.5">
      <c r="A5" s="83" t="s">
        <v>387</v>
      </c>
      <c r="B5" s="102" t="s">
        <v>261</v>
      </c>
      <c r="C5" s="106">
        <v>1321</v>
      </c>
      <c r="D5" s="41" t="s">
        <v>59</v>
      </c>
      <c r="E5" s="58" t="s">
        <v>39</v>
      </c>
    </row>
    <row r="6" spans="1:5" ht="14.5">
      <c r="A6" s="83" t="s">
        <v>388</v>
      </c>
      <c r="B6" s="102" t="s">
        <v>262</v>
      </c>
      <c r="C6" s="106">
        <v>1322</v>
      </c>
      <c r="D6" s="41" t="s">
        <v>60</v>
      </c>
      <c r="E6" s="58" t="s">
        <v>39</v>
      </c>
    </row>
    <row r="7" spans="1:5" ht="14.5">
      <c r="A7" s="83" t="s">
        <v>389</v>
      </c>
      <c r="B7" s="102" t="s">
        <v>263</v>
      </c>
      <c r="C7" s="106">
        <v>1323</v>
      </c>
      <c r="D7" s="64" t="s">
        <v>61</v>
      </c>
      <c r="E7" s="37" t="s">
        <v>39</v>
      </c>
    </row>
    <row r="8" spans="1:5" ht="14.5">
      <c r="A8" s="83" t="s">
        <v>390</v>
      </c>
      <c r="B8" s="96" t="s">
        <v>264</v>
      </c>
      <c r="C8" s="97">
        <v>1377</v>
      </c>
      <c r="D8" s="18"/>
      <c r="E8" s="37" t="s">
        <v>39</v>
      </c>
    </row>
    <row r="9" spans="1:5" ht="14.5">
      <c r="A9" s="37"/>
      <c r="B9" s="65"/>
      <c r="C9" s="18"/>
      <c r="D9" s="18"/>
      <c r="E9" s="37"/>
    </row>
    <row r="10" spans="1:5" ht="14.5">
      <c r="A10" s="66" t="s">
        <v>7</v>
      </c>
      <c r="B10" s="24">
        <f>COUNTA(B3:B9)</f>
        <v>6</v>
      </c>
      <c r="C10" s="67"/>
      <c r="D10" s="67"/>
      <c r="E10" s="37"/>
    </row>
    <row r="12" spans="1:5" ht="14.5">
      <c r="B12" s="68"/>
      <c r="C12" s="63"/>
      <c r="D12" s="41"/>
      <c r="E12" s="58"/>
    </row>
    <row r="13" spans="1:5" ht="14.5">
      <c r="B13" s="68"/>
      <c r="C13" s="63"/>
      <c r="D13" s="41"/>
      <c r="E13" s="58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hyperlinks>
    <hyperlink ref="A1" location="Summary!A1" display="Summary"/>
  </hyperlinks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workbookViewId="0">
      <pane ySplit="2" topLeftCell="A3" activePane="bottomLeft" state="frozen"/>
      <selection pane="bottomLeft" activeCell="A3" sqref="A3:E8"/>
    </sheetView>
  </sheetViews>
  <sheetFormatPr defaultColWidth="14.453125" defaultRowHeight="15" customHeight="1"/>
  <cols>
    <col min="1" max="1" width="15.7265625" customWidth="1"/>
    <col min="2" max="2" width="23.54296875" customWidth="1"/>
    <col min="3" max="3" width="11.7265625" customWidth="1"/>
    <col min="4" max="4" width="15.7265625" customWidth="1"/>
    <col min="5" max="26" width="8.7265625" customWidth="1"/>
  </cols>
  <sheetData>
    <row r="1" spans="1:5" ht="14.5">
      <c r="A1" s="31" t="s">
        <v>32</v>
      </c>
      <c r="C1" s="118" t="s">
        <v>251</v>
      </c>
    </row>
    <row r="2" spans="1:5" ht="14.5">
      <c r="A2" s="33" t="s">
        <v>33</v>
      </c>
      <c r="B2" s="34" t="s">
        <v>34</v>
      </c>
      <c r="C2" s="34" t="s">
        <v>35</v>
      </c>
      <c r="D2" s="34" t="s">
        <v>45</v>
      </c>
      <c r="E2" s="34" t="s">
        <v>37</v>
      </c>
    </row>
    <row r="3" spans="1:5" ht="14.5">
      <c r="A3" s="83" t="s">
        <v>391</v>
      </c>
      <c r="B3" s="102" t="s">
        <v>252</v>
      </c>
      <c r="C3" s="106">
        <v>1015</v>
      </c>
      <c r="D3" s="41" t="s">
        <v>57</v>
      </c>
      <c r="E3" s="58" t="s">
        <v>39</v>
      </c>
    </row>
    <row r="4" spans="1:5" ht="14.5">
      <c r="A4" s="83" t="s">
        <v>392</v>
      </c>
      <c r="B4" s="119" t="s">
        <v>62</v>
      </c>
      <c r="C4" s="120">
        <v>1192</v>
      </c>
      <c r="D4" s="121" t="s">
        <v>58</v>
      </c>
      <c r="E4" s="58" t="s">
        <v>39</v>
      </c>
    </row>
    <row r="5" spans="1:5" ht="14.5">
      <c r="A5" s="83" t="s">
        <v>393</v>
      </c>
      <c r="B5" s="101"/>
      <c r="C5" s="101"/>
      <c r="D5" s="101"/>
      <c r="E5" s="47" t="s">
        <v>359</v>
      </c>
    </row>
    <row r="6" spans="1:5" ht="14.5">
      <c r="A6" s="83" t="s">
        <v>394</v>
      </c>
      <c r="B6" s="122" t="s">
        <v>254</v>
      </c>
      <c r="C6" s="123">
        <v>1226</v>
      </c>
      <c r="D6" s="41" t="s">
        <v>60</v>
      </c>
      <c r="E6" s="58" t="s">
        <v>39</v>
      </c>
    </row>
    <row r="7" spans="1:5" ht="14.5">
      <c r="A7" s="83" t="s">
        <v>395</v>
      </c>
      <c r="B7" s="102" t="s">
        <v>255</v>
      </c>
      <c r="C7" s="114">
        <v>1346</v>
      </c>
      <c r="D7" s="41" t="s">
        <v>61</v>
      </c>
      <c r="E7" s="58" t="s">
        <v>39</v>
      </c>
    </row>
    <row r="8" spans="1:5" ht="14.5">
      <c r="A8" s="83" t="s">
        <v>396</v>
      </c>
      <c r="B8" s="96" t="s">
        <v>256</v>
      </c>
      <c r="C8" s="97">
        <v>1383</v>
      </c>
      <c r="D8" s="41" t="s">
        <v>63</v>
      </c>
      <c r="E8" s="58" t="s">
        <v>39</v>
      </c>
    </row>
    <row r="9" spans="1:5" ht="14.5">
      <c r="A9" s="36"/>
      <c r="B9" s="69"/>
      <c r="C9" s="58"/>
      <c r="D9" s="41"/>
      <c r="E9" s="58"/>
    </row>
    <row r="10" spans="1:5" ht="14.5">
      <c r="A10" s="53" t="s">
        <v>7</v>
      </c>
      <c r="B10" s="23">
        <f>COUNTA(B3:B9)</f>
        <v>5</v>
      </c>
      <c r="C10" s="54"/>
      <c r="D10" s="54"/>
      <c r="E10" s="60"/>
    </row>
    <row r="12" spans="1:5" ht="15" customHeight="1">
      <c r="B12" s="102" t="s">
        <v>253</v>
      </c>
      <c r="C12" s="106">
        <v>1195</v>
      </c>
      <c r="D12" s="41" t="s">
        <v>59</v>
      </c>
      <c r="E12" s="92" t="s">
        <v>51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hyperlinks>
    <hyperlink ref="A1" location="Summary!A1" display="Summary"/>
  </hyperlinks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>
      <pane ySplit="2" topLeftCell="A12" activePane="bottomLeft" state="frozen"/>
      <selection pane="bottomLeft" activeCell="A3" sqref="A3:E6"/>
    </sheetView>
  </sheetViews>
  <sheetFormatPr defaultColWidth="14.453125" defaultRowHeight="15" customHeight="1"/>
  <cols>
    <col min="1" max="1" width="19.1796875" customWidth="1"/>
    <col min="2" max="2" width="15.1796875" customWidth="1"/>
    <col min="3" max="3" width="12.7265625" customWidth="1"/>
    <col min="4" max="4" width="18" customWidth="1"/>
    <col min="5" max="26" width="8.7265625" customWidth="1"/>
  </cols>
  <sheetData>
    <row r="1" spans="1:5" ht="14.5">
      <c r="A1" s="31" t="s">
        <v>32</v>
      </c>
      <c r="B1" s="93" t="s">
        <v>189</v>
      </c>
    </row>
    <row r="2" spans="1:5" ht="14.5">
      <c r="A2" s="33" t="s">
        <v>33</v>
      </c>
      <c r="B2" s="34" t="s">
        <v>34</v>
      </c>
      <c r="C2" s="34" t="s">
        <v>35</v>
      </c>
      <c r="D2" s="34" t="s">
        <v>64</v>
      </c>
      <c r="E2" s="34" t="s">
        <v>37</v>
      </c>
    </row>
    <row r="3" spans="1:5" ht="14.5">
      <c r="A3" s="83" t="s">
        <v>397</v>
      </c>
      <c r="B3" s="37" t="s">
        <v>65</v>
      </c>
      <c r="C3" s="38">
        <v>1198</v>
      </c>
      <c r="D3" s="58" t="s">
        <v>66</v>
      </c>
      <c r="E3" s="58" t="s">
        <v>39</v>
      </c>
    </row>
    <row r="4" spans="1:5" ht="14.5">
      <c r="A4" s="83" t="s">
        <v>398</v>
      </c>
      <c r="B4" s="36" t="s">
        <v>67</v>
      </c>
      <c r="C4" s="38">
        <v>1279</v>
      </c>
      <c r="D4" s="58" t="s">
        <v>68</v>
      </c>
      <c r="E4" s="58" t="s">
        <v>39</v>
      </c>
    </row>
    <row r="5" spans="1:5" ht="14.5">
      <c r="A5" s="83" t="s">
        <v>399</v>
      </c>
      <c r="B5" s="107" t="s">
        <v>213</v>
      </c>
      <c r="C5" s="108">
        <v>1158</v>
      </c>
      <c r="D5" s="58" t="s">
        <v>69</v>
      </c>
      <c r="E5" s="58" t="s">
        <v>39</v>
      </c>
    </row>
    <row r="6" spans="1:5" ht="14.5">
      <c r="A6" s="83" t="s">
        <v>400</v>
      </c>
      <c r="B6" s="36"/>
      <c r="C6" s="58"/>
      <c r="D6" s="58" t="s">
        <v>69</v>
      </c>
      <c r="E6" s="47" t="s">
        <v>359</v>
      </c>
    </row>
    <row r="7" spans="1:5" ht="14.5">
      <c r="A7" s="53" t="s">
        <v>7</v>
      </c>
      <c r="B7" s="23">
        <f>COUNTA(B3:B6)</f>
        <v>3</v>
      </c>
      <c r="C7" s="54"/>
      <c r="D7" s="54"/>
      <c r="E7" s="60"/>
    </row>
    <row r="9" spans="1:5" ht="15" customHeight="1">
      <c r="D9" s="108"/>
      <c r="E9" s="107" t="s">
        <v>51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A1" location="Summary!A1" display="Summary"/>
  </hyperlinks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0"/>
  <sheetViews>
    <sheetView workbookViewId="0">
      <pane ySplit="2" topLeftCell="A3" activePane="bottomLeft" state="frozen"/>
      <selection pane="bottomLeft" activeCell="A3" sqref="A3:E6"/>
    </sheetView>
  </sheetViews>
  <sheetFormatPr defaultColWidth="14.453125" defaultRowHeight="15" customHeight="1"/>
  <cols>
    <col min="1" max="1" width="17.453125" customWidth="1"/>
    <col min="2" max="2" width="17.1796875" customWidth="1"/>
    <col min="3" max="3" width="13" customWidth="1"/>
    <col min="4" max="4" width="20.1796875" customWidth="1"/>
    <col min="5" max="26" width="8.7265625" customWidth="1"/>
  </cols>
  <sheetData>
    <row r="1" spans="1:6" ht="14.5">
      <c r="A1" s="31" t="s">
        <v>32</v>
      </c>
      <c r="B1" s="154">
        <v>46023</v>
      </c>
      <c r="C1" s="155"/>
      <c r="D1" s="155"/>
      <c r="E1" s="156" t="s">
        <v>190</v>
      </c>
      <c r="F1" s="156"/>
    </row>
    <row r="2" spans="1:6" ht="14.5">
      <c r="A2" s="33" t="s">
        <v>33</v>
      </c>
      <c r="B2" s="34" t="s">
        <v>34</v>
      </c>
      <c r="C2" s="34" t="s">
        <v>35</v>
      </c>
      <c r="D2" s="34" t="s">
        <v>45</v>
      </c>
      <c r="E2" s="34" t="s">
        <v>37</v>
      </c>
    </row>
    <row r="3" spans="1:6" ht="14.5">
      <c r="A3" s="83" t="s">
        <v>401</v>
      </c>
      <c r="B3" s="58" t="s">
        <v>70</v>
      </c>
      <c r="C3" s="70">
        <v>1134</v>
      </c>
      <c r="D3" s="36" t="s">
        <v>71</v>
      </c>
      <c r="E3" s="58" t="s">
        <v>39</v>
      </c>
    </row>
    <row r="4" spans="1:6" ht="14.5">
      <c r="A4" s="83" t="s">
        <v>402</v>
      </c>
      <c r="B4" s="58" t="s">
        <v>72</v>
      </c>
      <c r="C4" s="71">
        <v>1193</v>
      </c>
      <c r="D4" s="58" t="s">
        <v>73</v>
      </c>
      <c r="E4" s="58" t="s">
        <v>39</v>
      </c>
    </row>
    <row r="5" spans="1:6" ht="14.5">
      <c r="A5" s="83" t="s">
        <v>403</v>
      </c>
      <c r="B5" s="96" t="s">
        <v>203</v>
      </c>
      <c r="C5" s="71">
        <v>1376</v>
      </c>
      <c r="D5" s="58" t="s">
        <v>74</v>
      </c>
      <c r="E5" s="58" t="s">
        <v>39</v>
      </c>
    </row>
    <row r="6" spans="1:6" ht="14.5">
      <c r="A6" s="83" t="s">
        <v>404</v>
      </c>
      <c r="B6" s="96" t="s">
        <v>204</v>
      </c>
      <c r="C6" s="71">
        <v>1380</v>
      </c>
      <c r="D6" s="58" t="s">
        <v>75</v>
      </c>
      <c r="E6" s="58" t="s">
        <v>39</v>
      </c>
    </row>
    <row r="7" spans="1:6" ht="14.5">
      <c r="A7" s="53" t="s">
        <v>7</v>
      </c>
      <c r="B7" s="23">
        <f>COUNTA(B3:B6)</f>
        <v>4</v>
      </c>
      <c r="C7" s="54"/>
      <c r="D7" s="54"/>
      <c r="E7" s="6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D1"/>
    <mergeCell ref="E1:F1"/>
  </mergeCells>
  <hyperlinks>
    <hyperlink ref="A1" location="Summary!A1" display="Summary"/>
  </hyperlinks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>
      <pane ySplit="2" topLeftCell="A3" activePane="bottomLeft" state="frozen"/>
      <selection pane="bottomLeft" activeCell="A3" sqref="A3:E6"/>
    </sheetView>
  </sheetViews>
  <sheetFormatPr defaultColWidth="14.453125" defaultRowHeight="15" customHeight="1"/>
  <cols>
    <col min="1" max="1" width="16.453125" customWidth="1"/>
    <col min="2" max="2" width="21.81640625" customWidth="1"/>
    <col min="3" max="3" width="8.7265625" customWidth="1"/>
    <col min="4" max="5" width="16.7265625" customWidth="1"/>
    <col min="6" max="26" width="8.7265625" customWidth="1"/>
  </cols>
  <sheetData>
    <row r="1" spans="1:5" ht="14.5">
      <c r="A1" s="31" t="s">
        <v>32</v>
      </c>
      <c r="E1" s="94" t="s">
        <v>191</v>
      </c>
    </row>
    <row r="2" spans="1:5" ht="14.5">
      <c r="A2" s="33" t="s">
        <v>33</v>
      </c>
      <c r="B2" s="98" t="s">
        <v>34</v>
      </c>
      <c r="C2" s="98" t="s">
        <v>35</v>
      </c>
      <c r="D2" s="34" t="s">
        <v>45</v>
      </c>
      <c r="E2" s="34" t="s">
        <v>37</v>
      </c>
    </row>
    <row r="3" spans="1:5" ht="14.5">
      <c r="A3" s="83" t="s">
        <v>406</v>
      </c>
      <c r="B3" s="99" t="s">
        <v>79</v>
      </c>
      <c r="C3" s="100">
        <v>1367</v>
      </c>
      <c r="D3" s="58" t="s">
        <v>76</v>
      </c>
      <c r="E3" s="58" t="s">
        <v>39</v>
      </c>
    </row>
    <row r="4" spans="1:5" ht="14.5">
      <c r="A4" s="83" t="s">
        <v>407</v>
      </c>
      <c r="B4" s="99" t="s">
        <v>77</v>
      </c>
      <c r="C4" s="100">
        <v>1247</v>
      </c>
      <c r="D4" s="58" t="s">
        <v>78</v>
      </c>
      <c r="E4" s="58" t="s">
        <v>39</v>
      </c>
    </row>
    <row r="5" spans="1:5" ht="14.5">
      <c r="A5" s="83" t="s">
        <v>408</v>
      </c>
      <c r="B5" s="102" t="s">
        <v>205</v>
      </c>
      <c r="C5" s="103">
        <v>1242</v>
      </c>
      <c r="D5" s="58" t="s">
        <v>80</v>
      </c>
      <c r="E5" s="58" t="s">
        <v>39</v>
      </c>
    </row>
    <row r="6" spans="1:5" ht="14.5">
      <c r="A6" s="83" t="s">
        <v>405</v>
      </c>
      <c r="B6" s="99"/>
      <c r="C6" s="99"/>
      <c r="D6" s="58" t="s">
        <v>81</v>
      </c>
      <c r="E6" s="47" t="s">
        <v>359</v>
      </c>
    </row>
    <row r="7" spans="1:5" ht="14.5">
      <c r="A7" s="53" t="s">
        <v>7</v>
      </c>
      <c r="B7" s="23">
        <f>COUNTA(B3:B6)</f>
        <v>3</v>
      </c>
      <c r="C7" s="60"/>
      <c r="D7" s="60"/>
      <c r="E7" s="6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A1" location="Summary!A1" display="Summary"/>
  </hyperlinks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workbookViewId="0">
      <pane ySplit="2" topLeftCell="A3" activePane="bottomLeft" state="frozen"/>
      <selection pane="bottomLeft" activeCell="A3" sqref="A3:E11"/>
    </sheetView>
  </sheetViews>
  <sheetFormatPr defaultColWidth="14.453125" defaultRowHeight="15" customHeight="1"/>
  <cols>
    <col min="1" max="1" width="16.54296875" customWidth="1"/>
    <col min="2" max="2" width="26" customWidth="1"/>
    <col min="3" max="3" width="13.81640625" customWidth="1"/>
    <col min="4" max="4" width="17.26953125" customWidth="1"/>
    <col min="5" max="26" width="8.7265625" customWidth="1"/>
  </cols>
  <sheetData>
    <row r="1" spans="1:5" ht="14.5">
      <c r="A1" s="31" t="s">
        <v>32</v>
      </c>
      <c r="B1" s="72"/>
      <c r="C1" s="157" t="s">
        <v>285</v>
      </c>
      <c r="D1" s="157"/>
    </row>
    <row r="2" spans="1:5" ht="14.5">
      <c r="A2" s="73" t="s">
        <v>33</v>
      </c>
      <c r="B2" s="74" t="s">
        <v>34</v>
      </c>
      <c r="C2" s="74" t="s">
        <v>35</v>
      </c>
      <c r="D2" s="74" t="s">
        <v>45</v>
      </c>
      <c r="E2" s="74" t="s">
        <v>37</v>
      </c>
    </row>
    <row r="3" spans="1:5" ht="16.5">
      <c r="A3" s="83" t="s">
        <v>409</v>
      </c>
      <c r="B3" s="128" t="s">
        <v>287</v>
      </c>
      <c r="C3" s="110" t="s">
        <v>293</v>
      </c>
      <c r="D3" s="41" t="s">
        <v>82</v>
      </c>
      <c r="E3" s="60" t="s">
        <v>39</v>
      </c>
    </row>
    <row r="4" spans="1:5" ht="14.5">
      <c r="A4" s="83" t="s">
        <v>410</v>
      </c>
      <c r="B4" s="109" t="s">
        <v>288</v>
      </c>
      <c r="C4" s="110" t="s">
        <v>94</v>
      </c>
      <c r="D4" s="41" t="s">
        <v>83</v>
      </c>
      <c r="E4" s="58" t="s">
        <v>39</v>
      </c>
    </row>
    <row r="5" spans="1:5" ht="14.5">
      <c r="A5" s="83" t="s">
        <v>411</v>
      </c>
      <c r="B5" s="124" t="s">
        <v>289</v>
      </c>
      <c r="C5" s="106">
        <v>1190</v>
      </c>
      <c r="D5" s="41" t="s">
        <v>84</v>
      </c>
      <c r="E5" s="58" t="s">
        <v>39</v>
      </c>
    </row>
    <row r="6" spans="1:5" ht="14.5">
      <c r="A6" s="83" t="s">
        <v>412</v>
      </c>
      <c r="B6" s="127" t="s">
        <v>275</v>
      </c>
      <c r="C6" s="106">
        <v>1257</v>
      </c>
      <c r="D6" s="41" t="s">
        <v>85</v>
      </c>
      <c r="E6" s="58" t="s">
        <v>39</v>
      </c>
    </row>
    <row r="7" spans="1:5" ht="14.5">
      <c r="A7" s="83" t="s">
        <v>413</v>
      </c>
      <c r="B7" s="102" t="s">
        <v>290</v>
      </c>
      <c r="C7" s="106">
        <v>1282</v>
      </c>
      <c r="D7" s="41" t="s">
        <v>86</v>
      </c>
      <c r="E7" s="58" t="s">
        <v>39</v>
      </c>
    </row>
    <row r="8" spans="1:5" ht="14.5">
      <c r="A8" s="83" t="s">
        <v>414</v>
      </c>
      <c r="B8" s="102" t="s">
        <v>291</v>
      </c>
      <c r="C8" s="106">
        <v>1305</v>
      </c>
      <c r="D8" s="41" t="s">
        <v>87</v>
      </c>
      <c r="E8" s="58" t="s">
        <v>39</v>
      </c>
    </row>
    <row r="9" spans="1:5" ht="14.5">
      <c r="A9" s="83" t="s">
        <v>415</v>
      </c>
      <c r="B9" s="102" t="s">
        <v>292</v>
      </c>
      <c r="C9" s="114">
        <v>1350</v>
      </c>
      <c r="D9" s="41" t="s">
        <v>87</v>
      </c>
      <c r="E9" s="58" t="s">
        <v>39</v>
      </c>
    </row>
    <row r="10" spans="1:5" ht="14.5">
      <c r="A10" s="83" t="s">
        <v>416</v>
      </c>
      <c r="B10" s="58"/>
      <c r="C10" s="38"/>
      <c r="D10" s="41"/>
      <c r="E10" s="47" t="s">
        <v>359</v>
      </c>
    </row>
    <row r="11" spans="1:5" ht="14.5">
      <c r="A11" s="83" t="s">
        <v>417</v>
      </c>
      <c r="B11" s="58"/>
      <c r="C11" s="38"/>
      <c r="D11" s="41"/>
      <c r="E11" s="47" t="s">
        <v>359</v>
      </c>
    </row>
    <row r="13" spans="1:5" ht="14.5">
      <c r="A13" s="72" t="s">
        <v>88</v>
      </c>
      <c r="B13" s="75">
        <f>SUBTOTAL(103,B3:B12)</f>
        <v>7</v>
      </c>
    </row>
    <row r="15" spans="1:5" ht="14.5">
      <c r="B15" s="41"/>
      <c r="C15" s="38"/>
      <c r="D15" s="41"/>
      <c r="E15" s="58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">
    <mergeCell ref="C1:D1"/>
  </mergeCells>
  <hyperlinks>
    <hyperlink ref="A1" location="Summary!A1" display="Summary"/>
  </hyperlinks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workbookViewId="0">
      <selection activeCell="A3" sqref="A3:E12"/>
    </sheetView>
  </sheetViews>
  <sheetFormatPr defaultColWidth="14.453125" defaultRowHeight="15" customHeight="1"/>
  <cols>
    <col min="1" max="1" width="13.26953125" customWidth="1"/>
    <col min="2" max="2" width="17.81640625" customWidth="1"/>
    <col min="3" max="3" width="11.7265625" customWidth="1"/>
    <col min="4" max="4" width="16.7265625" customWidth="1"/>
    <col min="5" max="26" width="8.7265625" customWidth="1"/>
  </cols>
  <sheetData>
    <row r="1" spans="1:5" ht="14.5">
      <c r="A1" s="31" t="s">
        <v>32</v>
      </c>
      <c r="B1" s="72"/>
      <c r="C1" s="72"/>
      <c r="D1" s="129" t="s">
        <v>300</v>
      </c>
    </row>
    <row r="2" spans="1:5" ht="14.5">
      <c r="A2" s="73" t="s">
        <v>33</v>
      </c>
      <c r="B2" s="74" t="s">
        <v>34</v>
      </c>
      <c r="C2" s="74" t="s">
        <v>35</v>
      </c>
      <c r="D2" s="74" t="s">
        <v>45</v>
      </c>
      <c r="E2" s="74" t="s">
        <v>37</v>
      </c>
    </row>
    <row r="3" spans="1:5" ht="14.5">
      <c r="A3" s="83" t="s">
        <v>418</v>
      </c>
      <c r="B3" s="102" t="s">
        <v>91</v>
      </c>
      <c r="C3" s="106">
        <v>1044</v>
      </c>
      <c r="D3" s="41" t="s">
        <v>90</v>
      </c>
      <c r="E3" s="58" t="s">
        <v>39</v>
      </c>
    </row>
    <row r="4" spans="1:5" ht="14.5">
      <c r="A4" s="83" t="s">
        <v>419</v>
      </c>
      <c r="B4" s="102" t="s">
        <v>294</v>
      </c>
      <c r="C4" s="106">
        <v>1086</v>
      </c>
      <c r="D4" s="41" t="s">
        <v>90</v>
      </c>
      <c r="E4" s="58" t="s">
        <v>39</v>
      </c>
    </row>
    <row r="5" spans="1:5" ht="14.5">
      <c r="A5" s="83" t="s">
        <v>420</v>
      </c>
      <c r="B5" s="102" t="s">
        <v>295</v>
      </c>
      <c r="C5" s="106">
        <v>1155</v>
      </c>
      <c r="D5" s="41" t="s">
        <v>90</v>
      </c>
      <c r="E5" s="58" t="s">
        <v>39</v>
      </c>
    </row>
    <row r="6" spans="1:5" ht="14.5">
      <c r="A6" s="83" t="s">
        <v>421</v>
      </c>
      <c r="B6" s="102" t="s">
        <v>296</v>
      </c>
      <c r="C6" s="106">
        <v>1178</v>
      </c>
      <c r="D6" s="41" t="s">
        <v>90</v>
      </c>
      <c r="E6" s="58" t="s">
        <v>39</v>
      </c>
    </row>
    <row r="7" spans="1:5" ht="14.5">
      <c r="A7" s="83" t="s">
        <v>422</v>
      </c>
      <c r="B7" s="102" t="s">
        <v>297</v>
      </c>
      <c r="C7" s="106">
        <v>1179</v>
      </c>
      <c r="D7" s="41" t="s">
        <v>90</v>
      </c>
      <c r="E7" s="58" t="s">
        <v>39</v>
      </c>
    </row>
    <row r="8" spans="1:5" ht="14.5">
      <c r="A8" s="83" t="s">
        <v>423</v>
      </c>
      <c r="B8" s="102" t="s">
        <v>298</v>
      </c>
      <c r="C8" s="97">
        <v>1352</v>
      </c>
      <c r="D8" s="41" t="s">
        <v>44</v>
      </c>
      <c r="E8" s="58" t="s">
        <v>39</v>
      </c>
    </row>
    <row r="9" spans="1:5" ht="14.5">
      <c r="A9" s="83" t="s">
        <v>424</v>
      </c>
      <c r="B9" s="58"/>
      <c r="C9" s="38"/>
      <c r="D9" s="41"/>
      <c r="E9" s="47" t="s">
        <v>359</v>
      </c>
    </row>
    <row r="10" spans="1:5" ht="14.5">
      <c r="A10" s="83" t="s">
        <v>425</v>
      </c>
      <c r="B10" s="58"/>
      <c r="C10" s="38"/>
      <c r="D10" s="41"/>
      <c r="E10" s="47" t="s">
        <v>359</v>
      </c>
    </row>
    <row r="11" spans="1:5" ht="14.5">
      <c r="A11" s="83" t="s">
        <v>426</v>
      </c>
      <c r="B11" s="58"/>
      <c r="C11" s="38"/>
      <c r="D11" s="41"/>
      <c r="E11" s="47" t="s">
        <v>359</v>
      </c>
    </row>
    <row r="12" spans="1:5" ht="14.5">
      <c r="A12" s="83" t="s">
        <v>427</v>
      </c>
      <c r="B12" s="58"/>
      <c r="C12" s="38"/>
      <c r="D12" s="41"/>
      <c r="E12" s="47" t="s">
        <v>359</v>
      </c>
    </row>
    <row r="13" spans="1:5" ht="14.5">
      <c r="A13" s="72" t="s">
        <v>88</v>
      </c>
      <c r="B13" s="75">
        <f>SUBTOTAL(103,B3:B12)</f>
        <v>6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hyperlinks>
    <hyperlink ref="A1" location="Summary!A1" display="Summary"/>
  </hyperlinks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workbookViewId="0">
      <pane ySplit="2" topLeftCell="A3" activePane="bottomLeft" state="frozen"/>
      <selection pane="bottomLeft" activeCell="A3" sqref="A3:E12"/>
    </sheetView>
  </sheetViews>
  <sheetFormatPr defaultColWidth="14.453125" defaultRowHeight="15" customHeight="1"/>
  <cols>
    <col min="1" max="1" width="13.90625" customWidth="1"/>
    <col min="2" max="2" width="28.1796875" customWidth="1"/>
    <col min="3" max="3" width="11.54296875" customWidth="1"/>
    <col min="4" max="4" width="16.54296875" customWidth="1"/>
    <col min="5" max="26" width="8.7265625" customWidth="1"/>
  </cols>
  <sheetData>
    <row r="1" spans="1:5" ht="14.5">
      <c r="A1" s="31" t="s">
        <v>32</v>
      </c>
      <c r="D1" s="129" t="s">
        <v>299</v>
      </c>
    </row>
    <row r="2" spans="1:5" ht="14.5">
      <c r="A2" s="76" t="s">
        <v>33</v>
      </c>
      <c r="B2" s="77" t="s">
        <v>34</v>
      </c>
      <c r="C2" s="77" t="s">
        <v>35</v>
      </c>
      <c r="D2" s="77" t="s">
        <v>45</v>
      </c>
      <c r="E2" s="77" t="s">
        <v>37</v>
      </c>
    </row>
    <row r="3" spans="1:5" ht="14.5">
      <c r="A3" s="83" t="s">
        <v>429</v>
      </c>
      <c r="B3" s="102" t="s">
        <v>301</v>
      </c>
      <c r="C3" s="106">
        <v>1104</v>
      </c>
      <c r="D3" s="41" t="s">
        <v>92</v>
      </c>
      <c r="E3" s="58" t="s">
        <v>39</v>
      </c>
    </row>
    <row r="4" spans="1:5" ht="14.5">
      <c r="A4" s="83" t="s">
        <v>430</v>
      </c>
      <c r="B4" s="102" t="s">
        <v>302</v>
      </c>
      <c r="C4" s="106">
        <v>1196</v>
      </c>
      <c r="D4" s="41" t="s">
        <v>93</v>
      </c>
      <c r="E4" s="58" t="s">
        <v>39</v>
      </c>
    </row>
    <row r="5" spans="1:5" ht="14.5">
      <c r="A5" s="83" t="s">
        <v>431</v>
      </c>
      <c r="B5" s="102" t="s">
        <v>303</v>
      </c>
      <c r="C5" s="106">
        <v>1250</v>
      </c>
      <c r="D5" s="41" t="s">
        <v>95</v>
      </c>
      <c r="E5" s="58" t="s">
        <v>39</v>
      </c>
    </row>
    <row r="6" spans="1:5" ht="14.5">
      <c r="A6" s="83" t="s">
        <v>432</v>
      </c>
      <c r="B6" s="102" t="s">
        <v>98</v>
      </c>
      <c r="C6" s="106">
        <v>1273</v>
      </c>
      <c r="D6" s="41" t="s">
        <v>96</v>
      </c>
      <c r="E6" s="58" t="s">
        <v>39</v>
      </c>
    </row>
    <row r="7" spans="1:5" ht="14.5">
      <c r="A7" s="83" t="s">
        <v>433</v>
      </c>
      <c r="B7" s="102" t="s">
        <v>304</v>
      </c>
      <c r="C7" s="106">
        <v>1278</v>
      </c>
      <c r="D7" s="41" t="s">
        <v>97</v>
      </c>
      <c r="E7" s="58" t="s">
        <v>39</v>
      </c>
    </row>
    <row r="8" spans="1:5" ht="14.5">
      <c r="A8" s="83" t="s">
        <v>434</v>
      </c>
      <c r="B8" s="102" t="s">
        <v>305</v>
      </c>
      <c r="C8" s="106">
        <v>1284</v>
      </c>
      <c r="D8" s="41"/>
      <c r="E8" s="58" t="s">
        <v>39</v>
      </c>
    </row>
    <row r="9" spans="1:5" ht="14.5">
      <c r="A9" s="83" t="s">
        <v>435</v>
      </c>
      <c r="B9" s="102" t="s">
        <v>306</v>
      </c>
      <c r="C9" s="106">
        <v>1315</v>
      </c>
      <c r="D9" s="41" t="s">
        <v>99</v>
      </c>
      <c r="E9" s="58" t="s">
        <v>39</v>
      </c>
    </row>
    <row r="10" spans="1:5" ht="14.5">
      <c r="A10" s="83" t="s">
        <v>436</v>
      </c>
      <c r="B10" s="102" t="s">
        <v>103</v>
      </c>
      <c r="C10" s="115">
        <v>1356</v>
      </c>
      <c r="D10" s="41" t="s">
        <v>100</v>
      </c>
      <c r="E10" s="58" t="s">
        <v>39</v>
      </c>
    </row>
    <row r="11" spans="1:5" ht="14.5">
      <c r="A11" s="83" t="s">
        <v>437</v>
      </c>
      <c r="B11" s="102" t="s">
        <v>101</v>
      </c>
      <c r="C11" s="115">
        <v>1358</v>
      </c>
      <c r="D11" s="41" t="s">
        <v>102</v>
      </c>
      <c r="E11" s="58" t="s">
        <v>39</v>
      </c>
    </row>
    <row r="12" spans="1:5" ht="14.5">
      <c r="A12" s="83" t="s">
        <v>428</v>
      </c>
      <c r="B12" s="102" t="s">
        <v>307</v>
      </c>
      <c r="C12" s="125">
        <v>1364</v>
      </c>
      <c r="D12" s="60"/>
      <c r="E12" s="58" t="s">
        <v>39</v>
      </c>
    </row>
    <row r="13" spans="1:5" ht="14.5">
      <c r="A13" s="72" t="s">
        <v>88</v>
      </c>
      <c r="B13" s="75">
        <f>SUBTOTAL(103,B3:B12)</f>
        <v>10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hyperlinks>
    <hyperlink ref="A1" location="Summary!A1" display="Summary"/>
  </hyperlinks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workbookViewId="0">
      <pane ySplit="2" topLeftCell="A3" activePane="bottomLeft" state="frozen"/>
      <selection pane="bottomLeft" activeCell="A3" sqref="A3:E6"/>
    </sheetView>
  </sheetViews>
  <sheetFormatPr defaultColWidth="14.453125" defaultRowHeight="15" customHeight="1"/>
  <cols>
    <col min="1" max="1" width="15.81640625" customWidth="1"/>
    <col min="2" max="2" width="18.81640625" customWidth="1"/>
    <col min="3" max="3" width="8.7265625" customWidth="1"/>
    <col min="4" max="4" width="17.453125" customWidth="1"/>
    <col min="5" max="5" width="14.1796875" customWidth="1"/>
    <col min="6" max="26" width="8.7265625" customWidth="1"/>
  </cols>
  <sheetData>
    <row r="1" spans="1:5" ht="14.5">
      <c r="A1" s="31" t="s">
        <v>32</v>
      </c>
      <c r="E1" s="94" t="s">
        <v>192</v>
      </c>
    </row>
    <row r="2" spans="1:5" ht="14.5">
      <c r="A2" s="33" t="s">
        <v>33</v>
      </c>
      <c r="B2" s="34" t="s">
        <v>34</v>
      </c>
      <c r="C2" s="34" t="s">
        <v>35</v>
      </c>
      <c r="D2" s="34" t="s">
        <v>45</v>
      </c>
      <c r="E2" s="34" t="s">
        <v>37</v>
      </c>
    </row>
    <row r="3" spans="1:5" ht="14.5">
      <c r="A3" s="83" t="s">
        <v>438</v>
      </c>
      <c r="B3" s="102" t="s">
        <v>238</v>
      </c>
      <c r="C3" s="106">
        <v>1296</v>
      </c>
      <c r="D3" s="58" t="s">
        <v>104</v>
      </c>
      <c r="E3" s="58" t="s">
        <v>39</v>
      </c>
    </row>
    <row r="4" spans="1:5" ht="14.5">
      <c r="A4" s="83" t="s">
        <v>439</v>
      </c>
      <c r="B4" s="96" t="s">
        <v>207</v>
      </c>
      <c r="C4" s="97">
        <v>1388</v>
      </c>
      <c r="D4" s="58" t="s">
        <v>105</v>
      </c>
      <c r="E4" s="58" t="s">
        <v>39</v>
      </c>
    </row>
    <row r="5" spans="1:5" ht="14.5">
      <c r="A5" s="83" t="s">
        <v>440</v>
      </c>
      <c r="B5" s="96" t="s">
        <v>208</v>
      </c>
      <c r="C5" s="97">
        <v>1389</v>
      </c>
      <c r="D5" s="58" t="s">
        <v>106</v>
      </c>
      <c r="E5" s="58" t="s">
        <v>39</v>
      </c>
    </row>
    <row r="6" spans="1:5" ht="14.5">
      <c r="A6" s="83" t="s">
        <v>441</v>
      </c>
      <c r="B6" s="96" t="s">
        <v>209</v>
      </c>
      <c r="C6" s="97">
        <v>1382</v>
      </c>
      <c r="D6" s="58" t="s">
        <v>107</v>
      </c>
      <c r="E6" s="58" t="s">
        <v>39</v>
      </c>
    </row>
    <row r="7" spans="1:5" ht="14.5">
      <c r="A7" s="78" t="s">
        <v>88</v>
      </c>
      <c r="B7" s="79">
        <f>SUBTOTAL(103,B3:B6)</f>
        <v>4</v>
      </c>
      <c r="C7" s="80"/>
      <c r="D7" s="80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hyperlinks>
    <hyperlink ref="A1" location="Summary!A1" display="Summary"/>
  </hyperlinks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workbookViewId="0">
      <pane ySplit="2" topLeftCell="A3" activePane="bottomLeft" state="frozen"/>
      <selection pane="bottomLeft" activeCell="A3" sqref="A3:E6"/>
    </sheetView>
  </sheetViews>
  <sheetFormatPr defaultColWidth="14.453125" defaultRowHeight="15" customHeight="1"/>
  <cols>
    <col min="1" max="1" width="14.54296875" customWidth="1"/>
    <col min="2" max="2" width="15.81640625" customWidth="1"/>
    <col min="3" max="3" width="13" customWidth="1"/>
    <col min="4" max="4" width="20.1796875" customWidth="1"/>
    <col min="5" max="26" width="8.7265625" customWidth="1"/>
  </cols>
  <sheetData>
    <row r="1" spans="1:5" ht="14.5">
      <c r="A1" s="31" t="s">
        <v>32</v>
      </c>
      <c r="D1" s="94" t="s">
        <v>193</v>
      </c>
    </row>
    <row r="2" spans="1:5" ht="14.5">
      <c r="A2" s="33" t="s">
        <v>33</v>
      </c>
      <c r="B2" s="34" t="s">
        <v>34</v>
      </c>
      <c r="C2" s="34" t="s">
        <v>35</v>
      </c>
      <c r="D2" s="34" t="s">
        <v>45</v>
      </c>
      <c r="E2" s="34" t="s">
        <v>37</v>
      </c>
    </row>
    <row r="3" spans="1:5" ht="14.5">
      <c r="A3" s="83" t="s">
        <v>443</v>
      </c>
      <c r="B3" s="105" t="s">
        <v>210</v>
      </c>
      <c r="C3" s="106">
        <v>1258</v>
      </c>
      <c r="D3" s="58" t="s">
        <v>108</v>
      </c>
      <c r="E3" s="58" t="s">
        <v>39</v>
      </c>
    </row>
    <row r="4" spans="1:5" ht="14.5">
      <c r="A4" s="83" t="s">
        <v>444</v>
      </c>
      <c r="B4" s="105" t="s">
        <v>211</v>
      </c>
      <c r="C4" s="106">
        <v>1259</v>
      </c>
      <c r="D4" s="58" t="s">
        <v>110</v>
      </c>
      <c r="E4" s="58" t="s">
        <v>39</v>
      </c>
    </row>
    <row r="5" spans="1:5" ht="14.5">
      <c r="A5" s="83" t="s">
        <v>445</v>
      </c>
      <c r="B5" s="96" t="s">
        <v>212</v>
      </c>
      <c r="C5" s="97">
        <v>1384</v>
      </c>
      <c r="D5" s="60"/>
      <c r="E5" s="58" t="s">
        <v>39</v>
      </c>
    </row>
    <row r="6" spans="1:5" ht="14.5">
      <c r="A6" s="83" t="s">
        <v>442</v>
      </c>
      <c r="B6" s="36" t="s">
        <v>214</v>
      </c>
      <c r="C6" s="50" t="s">
        <v>111</v>
      </c>
      <c r="D6" s="60"/>
      <c r="E6" s="58" t="s">
        <v>39</v>
      </c>
    </row>
    <row r="7" spans="1:5" ht="14.5">
      <c r="A7" s="78" t="s">
        <v>88</v>
      </c>
      <c r="B7" s="79">
        <f>SUBTOTAL(103,B3:B6)</f>
        <v>4</v>
      </c>
      <c r="C7" s="18"/>
      <c r="D7" s="18"/>
    </row>
    <row r="9" spans="1:5" ht="14.5">
      <c r="B9" s="36"/>
      <c r="C9" s="38"/>
      <c r="D9" s="58"/>
      <c r="E9" s="58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hyperlinks>
    <hyperlink ref="A1" location="Summary!A1" display="Summary"/>
  </hyperlinks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workbookViewId="0">
      <pane ySplit="2" topLeftCell="A3" activePane="bottomLeft" state="frozen"/>
      <selection pane="bottomLeft" activeCell="A3" sqref="A3:E6"/>
    </sheetView>
  </sheetViews>
  <sheetFormatPr defaultColWidth="14.453125" defaultRowHeight="15" customHeight="1"/>
  <cols>
    <col min="1" max="1" width="14.26953125" customWidth="1"/>
    <col min="2" max="2" width="18.7265625" customWidth="1"/>
    <col min="3" max="3" width="13.1796875" customWidth="1"/>
    <col min="4" max="4" width="19" customWidth="1"/>
    <col min="5" max="26" width="8.7265625" customWidth="1"/>
  </cols>
  <sheetData>
    <row r="1" spans="1:5" ht="14.5">
      <c r="A1" s="31" t="s">
        <v>32</v>
      </c>
      <c r="D1" s="94" t="s">
        <v>194</v>
      </c>
    </row>
    <row r="2" spans="1:5" ht="14.5">
      <c r="A2" s="73" t="s">
        <v>33</v>
      </c>
      <c r="B2" s="74" t="s">
        <v>34</v>
      </c>
      <c r="C2" s="74" t="s">
        <v>35</v>
      </c>
      <c r="D2" s="74" t="s">
        <v>45</v>
      </c>
      <c r="E2" s="74" t="s">
        <v>37</v>
      </c>
    </row>
    <row r="3" spans="1:5" ht="14.5">
      <c r="A3" s="83" t="s">
        <v>446</v>
      </c>
      <c r="B3" s="102" t="s">
        <v>235</v>
      </c>
      <c r="C3" s="106">
        <v>1185</v>
      </c>
      <c r="D3" s="58" t="s">
        <v>112</v>
      </c>
      <c r="E3" s="58" t="s">
        <v>39</v>
      </c>
    </row>
    <row r="4" spans="1:5" ht="14.5">
      <c r="A4" s="83" t="s">
        <v>447</v>
      </c>
      <c r="B4" s="102" t="s">
        <v>236</v>
      </c>
      <c r="C4" s="106">
        <v>1212</v>
      </c>
      <c r="D4" s="58" t="s">
        <v>113</v>
      </c>
      <c r="E4" s="58" t="s">
        <v>39</v>
      </c>
    </row>
    <row r="5" spans="1:5" ht="14.5">
      <c r="A5" s="83" t="s">
        <v>448</v>
      </c>
      <c r="B5" s="102" t="s">
        <v>114</v>
      </c>
      <c r="C5" s="106">
        <v>1228</v>
      </c>
      <c r="D5" s="58" t="s">
        <v>115</v>
      </c>
      <c r="E5" s="58" t="s">
        <v>39</v>
      </c>
    </row>
    <row r="6" spans="1:5" ht="14.5">
      <c r="A6" s="83" t="s">
        <v>449</v>
      </c>
      <c r="B6" s="102" t="s">
        <v>237</v>
      </c>
      <c r="C6" s="106">
        <v>1230</v>
      </c>
      <c r="D6" s="58" t="s">
        <v>115</v>
      </c>
      <c r="E6" s="58" t="s">
        <v>39</v>
      </c>
    </row>
    <row r="7" spans="1:5" ht="14.5">
      <c r="A7" s="78" t="s">
        <v>88</v>
      </c>
      <c r="B7" s="79">
        <f>SUBTOTAL(103,B3:B6)</f>
        <v>4</v>
      </c>
      <c r="C7" s="18"/>
      <c r="D7" s="18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hyperlinks>
    <hyperlink ref="A1" location="Summary!A1" display="Summary"/>
  </hyperlinks>
  <pageMargins left="0.75" right="0.75" top="1" bottom="1" header="0" footer="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workbookViewId="0">
      <pane ySplit="2" topLeftCell="A3" activePane="bottomLeft" state="frozen"/>
      <selection pane="bottomLeft" activeCell="A3" sqref="A3:E6"/>
    </sheetView>
  </sheetViews>
  <sheetFormatPr defaultColWidth="14.453125" defaultRowHeight="15" customHeight="1"/>
  <cols>
    <col min="1" max="2" width="15.1796875" customWidth="1"/>
    <col min="3" max="3" width="8.7265625" customWidth="1"/>
    <col min="4" max="4" width="18.81640625" customWidth="1"/>
    <col min="5" max="26" width="8.7265625" customWidth="1"/>
  </cols>
  <sheetData>
    <row r="1" spans="1:5" ht="14.25" customHeight="1">
      <c r="A1" s="31" t="s">
        <v>32</v>
      </c>
      <c r="D1" s="95" t="s">
        <v>195</v>
      </c>
    </row>
    <row r="2" spans="1:5" ht="14.25" customHeight="1">
      <c r="A2" s="76" t="s">
        <v>33</v>
      </c>
      <c r="B2" s="77" t="s">
        <v>34</v>
      </c>
      <c r="C2" s="77" t="s">
        <v>35</v>
      </c>
      <c r="D2" s="77" t="s">
        <v>45</v>
      </c>
      <c r="E2" s="77" t="s">
        <v>37</v>
      </c>
    </row>
    <row r="3" spans="1:5" ht="14.5">
      <c r="A3" s="83" t="s">
        <v>450</v>
      </c>
      <c r="B3" s="58" t="s">
        <v>116</v>
      </c>
      <c r="C3" s="38">
        <v>1291</v>
      </c>
      <c r="D3" s="58" t="s">
        <v>117</v>
      </c>
      <c r="E3" s="58" t="s">
        <v>39</v>
      </c>
    </row>
    <row r="4" spans="1:5" ht="14.5">
      <c r="A4" s="83" t="s">
        <v>451</v>
      </c>
      <c r="B4" s="58" t="s">
        <v>118</v>
      </c>
      <c r="C4" s="38">
        <v>1359</v>
      </c>
      <c r="D4" s="58" t="s">
        <v>119</v>
      </c>
      <c r="E4" s="58" t="s">
        <v>39</v>
      </c>
    </row>
    <row r="5" spans="1:5" ht="14.5">
      <c r="A5" s="83" t="s">
        <v>452</v>
      </c>
      <c r="B5" s="58" t="s">
        <v>120</v>
      </c>
      <c r="C5" s="38">
        <v>1290</v>
      </c>
      <c r="D5" s="58" t="s">
        <v>121</v>
      </c>
      <c r="E5" s="58" t="s">
        <v>39</v>
      </c>
    </row>
    <row r="6" spans="1:5" ht="14.5">
      <c r="A6" s="83" t="s">
        <v>453</v>
      </c>
      <c r="B6" s="102" t="s">
        <v>215</v>
      </c>
      <c r="C6" s="106">
        <v>1281</v>
      </c>
      <c r="D6" s="58" t="s">
        <v>122</v>
      </c>
      <c r="E6" s="58" t="s">
        <v>39</v>
      </c>
    </row>
    <row r="7" spans="1:5" ht="14.5">
      <c r="A7" s="78" t="s">
        <v>88</v>
      </c>
      <c r="B7" s="79">
        <f>SUBTOTAL(103,B3:B6)</f>
        <v>4</v>
      </c>
      <c r="C7" s="18"/>
      <c r="D7" s="18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hyperlinks>
    <hyperlink ref="A1" location="Summary!A1" display="Summary"/>
  </hyperlinks>
  <pageMargins left="0.75" right="0.75" top="1" bottom="1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workbookViewId="0">
      <pane ySplit="2" topLeftCell="A3" activePane="bottomLeft" state="frozen"/>
      <selection pane="bottomLeft" activeCell="A3" sqref="A3:E6"/>
    </sheetView>
  </sheetViews>
  <sheetFormatPr defaultColWidth="14.453125" defaultRowHeight="15" customHeight="1"/>
  <cols>
    <col min="1" max="1" width="11.54296875" customWidth="1"/>
    <col min="2" max="2" width="19.90625" customWidth="1"/>
    <col min="3" max="3" width="13.54296875" customWidth="1"/>
    <col min="4" max="4" width="16.54296875" customWidth="1"/>
    <col min="5" max="26" width="8.7265625" customWidth="1"/>
  </cols>
  <sheetData>
    <row r="1" spans="1:5" ht="14.5">
      <c r="A1" s="31" t="s">
        <v>32</v>
      </c>
      <c r="D1" s="94" t="s">
        <v>196</v>
      </c>
    </row>
    <row r="2" spans="1:5" ht="14.5">
      <c r="A2" s="81" t="s">
        <v>33</v>
      </c>
      <c r="B2" s="35" t="s">
        <v>34</v>
      </c>
      <c r="C2" s="35" t="s">
        <v>35</v>
      </c>
      <c r="D2" s="35" t="s">
        <v>45</v>
      </c>
      <c r="E2" s="35" t="s">
        <v>37</v>
      </c>
    </row>
    <row r="3" spans="1:5" ht="14.5">
      <c r="A3" s="83" t="s">
        <v>454</v>
      </c>
      <c r="B3" s="58" t="s">
        <v>123</v>
      </c>
      <c r="C3" s="63" t="s">
        <v>124</v>
      </c>
      <c r="D3" s="58" t="s">
        <v>125</v>
      </c>
      <c r="E3" s="58" t="s">
        <v>39</v>
      </c>
    </row>
    <row r="4" spans="1:5" ht="14.5">
      <c r="A4" s="83" t="s">
        <v>455</v>
      </c>
      <c r="B4" s="58" t="s">
        <v>126</v>
      </c>
      <c r="C4" s="63" t="s">
        <v>109</v>
      </c>
      <c r="D4" s="58" t="s">
        <v>127</v>
      </c>
      <c r="E4" s="58" t="s">
        <v>39</v>
      </c>
    </row>
    <row r="5" spans="1:5" ht="14.5">
      <c r="A5" s="83" t="s">
        <v>456</v>
      </c>
      <c r="B5" s="96" t="s">
        <v>217</v>
      </c>
      <c r="C5" s="97" t="s">
        <v>218</v>
      </c>
      <c r="D5" s="58" t="s">
        <v>128</v>
      </c>
      <c r="E5" s="58" t="s">
        <v>39</v>
      </c>
    </row>
    <row r="6" spans="1:5" ht="14.5">
      <c r="A6" s="83" t="s">
        <v>457</v>
      </c>
      <c r="B6" s="58" t="s">
        <v>129</v>
      </c>
      <c r="C6" s="63" t="s">
        <v>216</v>
      </c>
      <c r="D6" s="58" t="s">
        <v>128</v>
      </c>
      <c r="E6" s="58" t="s">
        <v>39</v>
      </c>
    </row>
    <row r="7" spans="1:5" ht="14.5">
      <c r="A7" s="78" t="s">
        <v>88</v>
      </c>
      <c r="B7" s="79">
        <f>SUBTOTAL(103,B3:B6)</f>
        <v>4</v>
      </c>
      <c r="C7" s="18"/>
      <c r="D7" s="18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hyperlinks>
    <hyperlink ref="A1" location="Summary!A1" display="Summary"/>
  </hyperlinks>
  <pageMargins left="0.75" right="0.75" top="1" bottom="1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1001"/>
  <sheetViews>
    <sheetView workbookViewId="0">
      <pane ySplit="2" topLeftCell="A3" activePane="bottomLeft" state="frozen"/>
      <selection pane="bottomLeft" activeCell="A3" sqref="A3:E6"/>
    </sheetView>
  </sheetViews>
  <sheetFormatPr defaultColWidth="14.453125" defaultRowHeight="15" customHeight="1"/>
  <cols>
    <col min="1" max="1" width="14.54296875" customWidth="1"/>
    <col min="2" max="2" width="19.54296875" customWidth="1"/>
    <col min="3" max="3" width="14.54296875" customWidth="1"/>
    <col min="4" max="4" width="18.81640625" customWidth="1"/>
    <col min="5" max="26" width="8.7265625" customWidth="1"/>
  </cols>
  <sheetData>
    <row r="1" spans="1:5" ht="14.5">
      <c r="A1" s="31" t="s">
        <v>32</v>
      </c>
      <c r="D1" s="94" t="s">
        <v>197</v>
      </c>
    </row>
    <row r="2" spans="1:5" ht="14.5">
      <c r="A2" s="33" t="s">
        <v>33</v>
      </c>
      <c r="B2" s="34" t="s">
        <v>34</v>
      </c>
      <c r="C2" s="34" t="s">
        <v>35</v>
      </c>
      <c r="D2" s="34" t="s">
        <v>45</v>
      </c>
      <c r="E2" s="34" t="s">
        <v>37</v>
      </c>
    </row>
    <row r="3" spans="1:5" ht="14.5">
      <c r="A3" s="83" t="s">
        <v>458</v>
      </c>
      <c r="B3" s="109" t="s">
        <v>219</v>
      </c>
      <c r="C3" s="110" t="s">
        <v>222</v>
      </c>
      <c r="D3" s="58" t="s">
        <v>130</v>
      </c>
      <c r="E3" s="58" t="s">
        <v>39</v>
      </c>
    </row>
    <row r="4" spans="1:5" ht="14.5">
      <c r="A4" s="83" t="s">
        <v>459</v>
      </c>
      <c r="B4" s="102" t="s">
        <v>220</v>
      </c>
      <c r="C4" s="106">
        <v>1251</v>
      </c>
      <c r="D4" s="58" t="s">
        <v>131</v>
      </c>
      <c r="E4" s="58" t="s">
        <v>39</v>
      </c>
    </row>
    <row r="5" spans="1:5" ht="14.5">
      <c r="A5" s="83" t="s">
        <v>460</v>
      </c>
      <c r="B5" s="102" t="s">
        <v>221</v>
      </c>
      <c r="C5" s="106">
        <v>1283</v>
      </c>
      <c r="D5" s="58" t="s">
        <v>133</v>
      </c>
      <c r="E5" s="58" t="s">
        <v>39</v>
      </c>
    </row>
    <row r="6" spans="1:5" ht="14.5">
      <c r="A6" s="83" t="s">
        <v>461</v>
      </c>
      <c r="B6" s="111" t="s">
        <v>132</v>
      </c>
      <c r="C6" s="111"/>
      <c r="D6" s="58" t="s">
        <v>134</v>
      </c>
      <c r="E6" s="58" t="s">
        <v>39</v>
      </c>
    </row>
    <row r="7" spans="1:5" ht="14.5">
      <c r="A7" s="78" t="s">
        <v>88</v>
      </c>
      <c r="B7" s="79">
        <f>SUBTOTAL(103,B3:B6)</f>
        <v>4</v>
      </c>
      <c r="C7" s="18"/>
      <c r="D7" s="18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hyperlinks>
    <hyperlink ref="A1" location="Summary!A1" display="Summary"/>
  </hyperlinks>
  <pageMargins left="0.75" right="0.75" top="1" bottom="1" header="0" footer="0"/>
  <pageSetup orientation="landscape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workbookViewId="0">
      <selection activeCell="A3" sqref="A3:E6"/>
    </sheetView>
  </sheetViews>
  <sheetFormatPr defaultColWidth="14.453125" defaultRowHeight="15" customHeight="1"/>
  <cols>
    <col min="1" max="1" width="15.08984375" customWidth="1"/>
    <col min="2" max="2" width="19.81640625" customWidth="1"/>
    <col min="3" max="3" width="8.7265625" customWidth="1"/>
    <col min="4" max="4" width="18" customWidth="1"/>
    <col min="5" max="26" width="8.7265625" customWidth="1"/>
  </cols>
  <sheetData>
    <row r="1" spans="1:5" ht="14.5">
      <c r="A1" s="31" t="s">
        <v>32</v>
      </c>
      <c r="D1" s="94" t="s">
        <v>198</v>
      </c>
    </row>
    <row r="2" spans="1:5" ht="14.5">
      <c r="A2" s="33" t="s">
        <v>33</v>
      </c>
      <c r="B2" s="34" t="s">
        <v>34</v>
      </c>
      <c r="C2" s="34" t="s">
        <v>35</v>
      </c>
      <c r="D2" s="34" t="s">
        <v>45</v>
      </c>
      <c r="E2" s="34" t="s">
        <v>37</v>
      </c>
    </row>
    <row r="3" spans="1:5" ht="14.5">
      <c r="A3" s="83" t="s">
        <v>462</v>
      </c>
      <c r="B3" s="109" t="s">
        <v>135</v>
      </c>
      <c r="C3" s="110" t="s">
        <v>226</v>
      </c>
      <c r="D3" s="58"/>
      <c r="E3" s="58" t="s">
        <v>39</v>
      </c>
    </row>
    <row r="4" spans="1:5" ht="14.5">
      <c r="A4" s="83" t="s">
        <v>463</v>
      </c>
      <c r="B4" s="113" t="s">
        <v>223</v>
      </c>
      <c r="C4" s="97">
        <v>1391</v>
      </c>
      <c r="D4" s="58" t="s">
        <v>136</v>
      </c>
      <c r="E4" s="58" t="s">
        <v>39</v>
      </c>
    </row>
    <row r="5" spans="1:5" ht="14.5">
      <c r="A5" s="83" t="s">
        <v>464</v>
      </c>
      <c r="B5" s="96" t="s">
        <v>224</v>
      </c>
      <c r="C5" s="97">
        <v>1392</v>
      </c>
      <c r="D5" s="58" t="s">
        <v>137</v>
      </c>
      <c r="E5" s="58" t="s">
        <v>39</v>
      </c>
    </row>
    <row r="6" spans="1:5" ht="14.5">
      <c r="A6" s="83" t="s">
        <v>465</v>
      </c>
      <c r="B6" s="96" t="s">
        <v>225</v>
      </c>
      <c r="C6" s="97">
        <v>1390</v>
      </c>
      <c r="D6" s="58" t="s">
        <v>138</v>
      </c>
      <c r="E6" s="58" t="s">
        <v>39</v>
      </c>
    </row>
    <row r="7" spans="1:5" ht="14.5">
      <c r="A7" s="78" t="s">
        <v>88</v>
      </c>
      <c r="B7" s="79">
        <f>SUBTOTAL(103,B3:B6)</f>
        <v>4</v>
      </c>
      <c r="C7" s="18"/>
      <c r="D7" s="18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hyperlinks>
    <hyperlink ref="A1" location="Summary!A1" display="Summary"/>
  </hyperlinks>
  <pageMargins left="0.75" right="0.75" top="1" bottom="1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workbookViewId="0">
      <pane ySplit="2" topLeftCell="A3" activePane="bottomLeft" state="frozen"/>
      <selection pane="bottomLeft" activeCell="A3" sqref="A3:E6"/>
    </sheetView>
  </sheetViews>
  <sheetFormatPr defaultColWidth="14.453125" defaultRowHeight="15" customHeight="1"/>
  <cols>
    <col min="1" max="1" width="13.36328125" customWidth="1"/>
    <col min="2" max="2" width="27.26953125" customWidth="1"/>
    <col min="3" max="3" width="11.7265625" customWidth="1"/>
    <col min="4" max="4" width="16.453125" customWidth="1"/>
    <col min="5" max="26" width="8.7265625" customWidth="1"/>
  </cols>
  <sheetData>
    <row r="1" spans="1:5" ht="14.5">
      <c r="A1" s="31" t="s">
        <v>32</v>
      </c>
      <c r="C1" s="94" t="s">
        <v>199</v>
      </c>
    </row>
    <row r="2" spans="1:5" ht="14.5">
      <c r="A2" s="33" t="s">
        <v>33</v>
      </c>
      <c r="B2" s="34" t="s">
        <v>34</v>
      </c>
      <c r="C2" s="34" t="s">
        <v>35</v>
      </c>
      <c r="D2" s="34" t="s">
        <v>45</v>
      </c>
      <c r="E2" s="34" t="s">
        <v>37</v>
      </c>
    </row>
    <row r="3" spans="1:5" ht="14.5">
      <c r="A3" s="83" t="s">
        <v>466</v>
      </c>
      <c r="B3" s="102" t="s">
        <v>227</v>
      </c>
      <c r="C3" s="114">
        <v>1343</v>
      </c>
      <c r="D3" s="58" t="s">
        <v>139</v>
      </c>
      <c r="E3" s="58" t="s">
        <v>39</v>
      </c>
    </row>
    <row r="4" spans="1:5" ht="14.5">
      <c r="A4" s="83" t="s">
        <v>467</v>
      </c>
      <c r="B4" s="102" t="s">
        <v>228</v>
      </c>
      <c r="C4" s="115">
        <v>1362</v>
      </c>
      <c r="D4" s="58" t="s">
        <v>140</v>
      </c>
      <c r="E4" s="58" t="s">
        <v>39</v>
      </c>
    </row>
    <row r="5" spans="1:5" ht="14.5">
      <c r="A5" s="83" t="s">
        <v>468</v>
      </c>
      <c r="B5" s="96" t="s">
        <v>229</v>
      </c>
      <c r="C5" s="97">
        <v>1370</v>
      </c>
      <c r="D5" s="58" t="s">
        <v>141</v>
      </c>
      <c r="E5" s="58" t="s">
        <v>39</v>
      </c>
    </row>
    <row r="6" spans="1:5" ht="14.5">
      <c r="A6" s="83" t="s">
        <v>469</v>
      </c>
      <c r="B6" s="96" t="s">
        <v>206</v>
      </c>
      <c r="C6" s="97">
        <v>1371</v>
      </c>
      <c r="D6" s="58" t="s">
        <v>142</v>
      </c>
      <c r="E6" s="58" t="s">
        <v>39</v>
      </c>
    </row>
    <row r="7" spans="1:5" ht="14.5">
      <c r="A7" s="78" t="s">
        <v>88</v>
      </c>
      <c r="B7" s="79">
        <f>SUBTOTAL(103,B3:B6)</f>
        <v>4</v>
      </c>
      <c r="C7" s="18"/>
      <c r="D7" s="18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hyperlinks>
    <hyperlink ref="A1" location="Summary!A1" display="Summary"/>
  </hyperlinks>
  <pageMargins left="0.75" right="0.75" top="1" bottom="1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workbookViewId="0">
      <pane ySplit="2" topLeftCell="A3" activePane="bottomLeft" state="frozen"/>
      <selection pane="bottomLeft" activeCell="A3" sqref="A3:E6"/>
    </sheetView>
  </sheetViews>
  <sheetFormatPr defaultColWidth="14.453125" defaultRowHeight="15" customHeight="1"/>
  <cols>
    <col min="1" max="1" width="13.26953125" customWidth="1"/>
    <col min="2" max="2" width="21.81640625" customWidth="1"/>
    <col min="3" max="3" width="11.7265625" customWidth="1"/>
    <col min="4" max="4" width="18" customWidth="1"/>
    <col min="5" max="26" width="8.7265625" customWidth="1"/>
  </cols>
  <sheetData>
    <row r="1" spans="1:5" ht="14.5">
      <c r="A1" s="31" t="s">
        <v>32</v>
      </c>
      <c r="D1" s="94" t="s">
        <v>200</v>
      </c>
    </row>
    <row r="2" spans="1:5" ht="14.5">
      <c r="A2" s="33" t="s">
        <v>33</v>
      </c>
      <c r="B2" s="34" t="s">
        <v>34</v>
      </c>
      <c r="C2" s="34" t="s">
        <v>35</v>
      </c>
      <c r="D2" s="34" t="s">
        <v>45</v>
      </c>
      <c r="E2" s="34" t="s">
        <v>37</v>
      </c>
    </row>
    <row r="3" spans="1:5" ht="14.5">
      <c r="A3" s="83" t="s">
        <v>470</v>
      </c>
      <c r="B3" s="102" t="s">
        <v>230</v>
      </c>
      <c r="C3" s="106">
        <v>1309</v>
      </c>
      <c r="D3" s="58" t="s">
        <v>143</v>
      </c>
      <c r="E3" s="58" t="s">
        <v>39</v>
      </c>
    </row>
    <row r="4" spans="1:5" ht="14.5">
      <c r="A4" s="83" t="s">
        <v>471</v>
      </c>
      <c r="B4" s="102" t="s">
        <v>231</v>
      </c>
      <c r="C4" s="106">
        <v>1310</v>
      </c>
      <c r="D4" s="58" t="s">
        <v>144</v>
      </c>
      <c r="E4" s="58" t="s">
        <v>39</v>
      </c>
    </row>
    <row r="5" spans="1:5" ht="14.5">
      <c r="A5" s="83" t="s">
        <v>472</v>
      </c>
      <c r="B5" s="96" t="s">
        <v>232</v>
      </c>
      <c r="C5" s="97">
        <v>8069</v>
      </c>
      <c r="D5" s="58" t="s">
        <v>145</v>
      </c>
      <c r="E5" s="58" t="s">
        <v>39</v>
      </c>
    </row>
    <row r="6" spans="1:5" ht="14.5">
      <c r="A6" s="83" t="s">
        <v>473</v>
      </c>
      <c r="B6" s="36"/>
      <c r="C6" s="38"/>
      <c r="D6" s="58" t="s">
        <v>146</v>
      </c>
      <c r="E6" s="47" t="s">
        <v>359</v>
      </c>
    </row>
    <row r="7" spans="1:5" ht="14.5">
      <c r="A7" s="78" t="s">
        <v>88</v>
      </c>
      <c r="B7" s="79">
        <f>SUBTOTAL(103,B3:B6)</f>
        <v>3</v>
      </c>
      <c r="C7" s="18"/>
      <c r="D7" s="18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hyperlinks>
    <hyperlink ref="A1" location="Summary!A1" display="Summary"/>
  </hyperlinks>
  <pageMargins left="0.75" right="0.75" top="1" bottom="1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1002"/>
  <sheetViews>
    <sheetView workbookViewId="0">
      <pane ySplit="2" topLeftCell="A3" activePane="bottomLeft" state="frozen"/>
      <selection pane="bottomLeft" activeCell="A3" sqref="A3:E8"/>
    </sheetView>
  </sheetViews>
  <sheetFormatPr defaultColWidth="14.453125" defaultRowHeight="15" customHeight="1"/>
  <cols>
    <col min="1" max="1" width="13.453125" customWidth="1"/>
    <col min="2" max="2" width="22.7265625" customWidth="1"/>
    <col min="3" max="3" width="12.7265625" customWidth="1"/>
    <col min="4" max="4" width="16.81640625" customWidth="1"/>
    <col min="5" max="26" width="8.7265625" customWidth="1"/>
  </cols>
  <sheetData>
    <row r="1" spans="1:5" ht="14.5">
      <c r="A1" s="31" t="s">
        <v>32</v>
      </c>
      <c r="C1" s="118" t="s">
        <v>245</v>
      </c>
    </row>
    <row r="2" spans="1:5" ht="14.5">
      <c r="A2" s="33" t="s">
        <v>33</v>
      </c>
      <c r="B2" s="34" t="s">
        <v>34</v>
      </c>
      <c r="C2" s="34" t="s">
        <v>35</v>
      </c>
      <c r="D2" s="34" t="s">
        <v>45</v>
      </c>
      <c r="E2" s="34" t="s">
        <v>37</v>
      </c>
    </row>
    <row r="3" spans="1:5" ht="14.5">
      <c r="A3" s="83" t="s">
        <v>474</v>
      </c>
      <c r="B3" s="102" t="s">
        <v>246</v>
      </c>
      <c r="C3" s="106">
        <v>1038</v>
      </c>
      <c r="D3" s="41" t="s">
        <v>147</v>
      </c>
      <c r="E3" s="58" t="s">
        <v>39</v>
      </c>
    </row>
    <row r="4" spans="1:5" ht="14.5">
      <c r="A4" s="83" t="s">
        <v>475</v>
      </c>
      <c r="B4" s="102" t="s">
        <v>247</v>
      </c>
      <c r="C4" s="106">
        <v>1151</v>
      </c>
      <c r="D4" s="41" t="s">
        <v>148</v>
      </c>
      <c r="E4" s="58" t="s">
        <v>39</v>
      </c>
    </row>
    <row r="5" spans="1:5" ht="14.5">
      <c r="A5" s="83" t="s">
        <v>476</v>
      </c>
      <c r="B5" s="102" t="s">
        <v>248</v>
      </c>
      <c r="C5" s="106">
        <v>1167</v>
      </c>
      <c r="D5" s="41" t="s">
        <v>149</v>
      </c>
      <c r="E5" s="58" t="s">
        <v>39</v>
      </c>
    </row>
    <row r="6" spans="1:5" ht="14.5">
      <c r="A6" s="83" t="s">
        <v>477</v>
      </c>
      <c r="B6" s="102" t="s">
        <v>249</v>
      </c>
      <c r="C6" s="106">
        <v>1249</v>
      </c>
      <c r="D6" s="41" t="s">
        <v>151</v>
      </c>
      <c r="E6" s="58" t="s">
        <v>39</v>
      </c>
    </row>
    <row r="7" spans="1:5" ht="14.5">
      <c r="A7" s="83" t="s">
        <v>478</v>
      </c>
      <c r="B7" s="102" t="s">
        <v>250</v>
      </c>
      <c r="C7" s="114">
        <v>1348</v>
      </c>
      <c r="D7" s="41" t="s">
        <v>152</v>
      </c>
      <c r="E7" s="58" t="s">
        <v>39</v>
      </c>
    </row>
    <row r="8" spans="1:5" ht="14.5">
      <c r="A8" s="83" t="s">
        <v>479</v>
      </c>
      <c r="B8" s="102" t="s">
        <v>150</v>
      </c>
      <c r="C8" s="97">
        <v>1366</v>
      </c>
      <c r="D8" s="41" t="s">
        <v>152</v>
      </c>
      <c r="E8" s="58" t="s">
        <v>39</v>
      </c>
    </row>
    <row r="9" spans="1:5" ht="14.5">
      <c r="A9" s="36"/>
      <c r="B9" s="44"/>
      <c r="C9" s="38"/>
      <c r="D9" s="41"/>
      <c r="E9" s="42"/>
    </row>
    <row r="10" spans="1:5" ht="14.5">
      <c r="A10" s="78" t="s">
        <v>88</v>
      </c>
      <c r="B10" s="79">
        <f>SUBTOTAL(103,B3:B9)</f>
        <v>6</v>
      </c>
      <c r="C10" s="18"/>
      <c r="D10" s="1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hyperlinks>
    <hyperlink ref="A1" location="Summary!A1" display="Summary"/>
  </hyperlinks>
  <pageMargins left="0.75" right="0.75" top="1" bottom="1" header="0" footer="0"/>
  <pageSetup orientation="landscape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2"/>
  <sheetViews>
    <sheetView workbookViewId="0">
      <pane ySplit="2" topLeftCell="A3" activePane="bottomLeft" state="frozen"/>
      <selection pane="bottomLeft" activeCell="A3" sqref="A3:E8"/>
    </sheetView>
  </sheetViews>
  <sheetFormatPr defaultColWidth="14.453125" defaultRowHeight="15" customHeight="1"/>
  <cols>
    <col min="1" max="1" width="14.6328125" customWidth="1"/>
    <col min="2" max="2" width="22.453125" customWidth="1"/>
    <col min="3" max="3" width="11.54296875" customWidth="1"/>
    <col min="4" max="4" width="17.26953125" customWidth="1"/>
    <col min="5" max="26" width="8.7265625" customWidth="1"/>
  </cols>
  <sheetData>
    <row r="1" spans="1:5" ht="14.5">
      <c r="A1" s="31" t="s">
        <v>32</v>
      </c>
      <c r="C1" s="92" t="s">
        <v>244</v>
      </c>
    </row>
    <row r="2" spans="1:5" ht="14.5">
      <c r="A2" s="33" t="s">
        <v>33</v>
      </c>
      <c r="B2" s="34" t="s">
        <v>34</v>
      </c>
      <c r="C2" s="34" t="s">
        <v>35</v>
      </c>
      <c r="D2" s="34" t="s">
        <v>45</v>
      </c>
      <c r="E2" s="34" t="s">
        <v>37</v>
      </c>
    </row>
    <row r="3" spans="1:5" ht="14.5">
      <c r="A3" s="83" t="s">
        <v>480</v>
      </c>
      <c r="B3" s="102" t="s">
        <v>242</v>
      </c>
      <c r="C3" s="106">
        <v>1144</v>
      </c>
      <c r="D3" s="46" t="s">
        <v>153</v>
      </c>
      <c r="E3" s="46" t="s">
        <v>39</v>
      </c>
    </row>
    <row r="4" spans="1:5" ht="14.5">
      <c r="A4" s="83" t="s">
        <v>481</v>
      </c>
      <c r="B4" s="102" t="s">
        <v>160</v>
      </c>
      <c r="C4" s="106">
        <v>1234</v>
      </c>
      <c r="D4" s="46" t="s">
        <v>155</v>
      </c>
      <c r="E4" s="46" t="s">
        <v>156</v>
      </c>
    </row>
    <row r="5" spans="1:5" ht="14.5">
      <c r="A5" s="83" t="s">
        <v>482</v>
      </c>
      <c r="B5" s="102" t="s">
        <v>158</v>
      </c>
      <c r="C5" s="106">
        <v>1236</v>
      </c>
      <c r="D5" s="41" t="s">
        <v>157</v>
      </c>
      <c r="E5" s="58" t="s">
        <v>39</v>
      </c>
    </row>
    <row r="6" spans="1:5" ht="14.5">
      <c r="A6" s="83" t="s">
        <v>483</v>
      </c>
      <c r="B6" s="102" t="s">
        <v>162</v>
      </c>
      <c r="C6" s="114">
        <v>1333</v>
      </c>
      <c r="D6" s="46" t="s">
        <v>159</v>
      </c>
      <c r="E6" s="46" t="s">
        <v>39</v>
      </c>
    </row>
    <row r="7" spans="1:5" ht="14.5">
      <c r="A7" s="83" t="s">
        <v>484</v>
      </c>
      <c r="B7" s="102" t="s">
        <v>154</v>
      </c>
      <c r="C7" s="114">
        <v>1339</v>
      </c>
      <c r="D7" s="46" t="s">
        <v>161</v>
      </c>
      <c r="E7" s="46" t="s">
        <v>39</v>
      </c>
    </row>
    <row r="8" spans="1:5" ht="14.5">
      <c r="A8" s="83" t="s">
        <v>485</v>
      </c>
      <c r="B8" s="102" t="s">
        <v>243</v>
      </c>
      <c r="C8" s="114">
        <v>1347</v>
      </c>
      <c r="D8" s="41" t="s">
        <v>159</v>
      </c>
      <c r="E8" s="58" t="s">
        <v>39</v>
      </c>
    </row>
    <row r="9" spans="1:5" ht="14.5">
      <c r="A9" s="43"/>
      <c r="B9" s="46"/>
      <c r="C9" s="45"/>
      <c r="D9" s="41"/>
      <c r="E9" s="58"/>
    </row>
    <row r="10" spans="1:5" ht="14.5">
      <c r="A10" s="78" t="s">
        <v>88</v>
      </c>
      <c r="B10" s="79">
        <f>SUBTOTAL(103,B3:B9)</f>
        <v>6</v>
      </c>
      <c r="C10" s="18"/>
      <c r="D10" s="1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hyperlinks>
    <hyperlink ref="A1" location="Summary!A1" display="Summary"/>
  </hyperlinks>
  <pageMargins left="0.75" right="0.75" top="1" bottom="1" header="0" footer="0"/>
  <pageSetup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1001"/>
  <sheetViews>
    <sheetView workbookViewId="0">
      <pane ySplit="2" topLeftCell="A4" activePane="bottomLeft" state="frozen"/>
      <selection pane="bottomLeft" activeCell="A4" sqref="A4:E10"/>
    </sheetView>
  </sheetViews>
  <sheetFormatPr defaultColWidth="14.453125" defaultRowHeight="15" customHeight="1"/>
  <cols>
    <col min="1" max="1" width="14.26953125" customWidth="1"/>
    <col min="2" max="2" width="28.81640625" customWidth="1"/>
    <col min="3" max="3" width="13.453125" customWidth="1"/>
    <col min="4" max="4" width="18" customWidth="1"/>
    <col min="5" max="26" width="8.7265625" customWidth="1"/>
  </cols>
  <sheetData>
    <row r="1" spans="1:5" ht="14.5">
      <c r="A1" s="31" t="s">
        <v>32</v>
      </c>
      <c r="D1" s="130" t="s">
        <v>308</v>
      </c>
    </row>
    <row r="2" spans="1:5" ht="14.5">
      <c r="A2" s="73" t="s">
        <v>33</v>
      </c>
      <c r="B2" s="74" t="s">
        <v>34</v>
      </c>
      <c r="C2" s="74" t="s">
        <v>35</v>
      </c>
      <c r="D2" s="74" t="s">
        <v>45</v>
      </c>
      <c r="E2" s="74" t="s">
        <v>37</v>
      </c>
    </row>
    <row r="3" spans="1:5" ht="14.5">
      <c r="A3" s="83" t="s">
        <v>360</v>
      </c>
      <c r="B3" s="109" t="s">
        <v>309</v>
      </c>
      <c r="C3" s="110" t="s">
        <v>314</v>
      </c>
      <c r="D3" s="41" t="s">
        <v>163</v>
      </c>
      <c r="E3" s="58" t="s">
        <v>39</v>
      </c>
    </row>
    <row r="4" spans="1:5" ht="14.5">
      <c r="A4" s="83" t="s">
        <v>486</v>
      </c>
      <c r="B4" s="102" t="s">
        <v>310</v>
      </c>
      <c r="C4" s="114">
        <v>1344</v>
      </c>
      <c r="D4" s="41" t="s">
        <v>159</v>
      </c>
      <c r="E4" s="58" t="s">
        <v>39</v>
      </c>
    </row>
    <row r="5" spans="1:5" ht="14.5">
      <c r="A5" s="83" t="s">
        <v>487</v>
      </c>
      <c r="B5" s="102" t="s">
        <v>311</v>
      </c>
      <c r="C5" s="114">
        <v>1361</v>
      </c>
      <c r="D5" s="41" t="s">
        <v>164</v>
      </c>
      <c r="E5" s="58" t="s">
        <v>39</v>
      </c>
    </row>
    <row r="6" spans="1:5" ht="14.5">
      <c r="A6" s="83" t="s">
        <v>488</v>
      </c>
      <c r="B6" s="96" t="s">
        <v>312</v>
      </c>
      <c r="C6" s="97">
        <v>1378</v>
      </c>
      <c r="D6" s="41"/>
      <c r="E6" s="58" t="s">
        <v>39</v>
      </c>
    </row>
    <row r="7" spans="1:5" ht="14.5">
      <c r="A7" s="83" t="s">
        <v>489</v>
      </c>
      <c r="B7" s="96" t="s">
        <v>313</v>
      </c>
      <c r="C7" s="97">
        <v>1386</v>
      </c>
      <c r="D7" s="41" t="s">
        <v>165</v>
      </c>
      <c r="E7" s="58" t="s">
        <v>39</v>
      </c>
    </row>
    <row r="8" spans="1:5" ht="14.5">
      <c r="A8" s="83" t="s">
        <v>490</v>
      </c>
      <c r="B8" s="82"/>
      <c r="C8" s="38"/>
      <c r="D8" s="41" t="s">
        <v>166</v>
      </c>
      <c r="E8" s="58" t="s">
        <v>39</v>
      </c>
    </row>
    <row r="9" spans="1:5" ht="14.5">
      <c r="A9" s="83" t="s">
        <v>491</v>
      </c>
      <c r="B9" s="82"/>
      <c r="C9" s="38"/>
      <c r="D9" s="41"/>
      <c r="E9" s="47" t="s">
        <v>359</v>
      </c>
    </row>
    <row r="10" spans="1:5" ht="14.5">
      <c r="A10" s="83" t="s">
        <v>492</v>
      </c>
      <c r="B10" s="82"/>
      <c r="C10" s="38"/>
      <c r="D10" s="41"/>
      <c r="E10" s="47" t="s">
        <v>359</v>
      </c>
    </row>
    <row r="11" spans="1:5" ht="14.5">
      <c r="A11" s="36"/>
      <c r="B11" s="82"/>
      <c r="C11" s="38"/>
      <c r="D11" s="41"/>
      <c r="E11" s="58"/>
    </row>
    <row r="12" spans="1:5" ht="14.5">
      <c r="A12" s="36"/>
      <c r="B12" s="82"/>
      <c r="C12" s="18"/>
      <c r="D12" s="18"/>
      <c r="E12" s="58"/>
    </row>
    <row r="13" spans="1:5" ht="14.5">
      <c r="A13" s="78" t="s">
        <v>88</v>
      </c>
      <c r="B13" s="79">
        <f>SUBTOTAL(103,B3:B12)</f>
        <v>5</v>
      </c>
      <c r="E13" s="16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hyperlinks>
    <hyperlink ref="A1" location="Summary!A1" display="Summary"/>
  </hyperlinks>
  <pageMargins left="0.75" right="0.75" top="1" bottom="1" header="0" footer="0"/>
  <pageSetup orientation="landscape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3"/>
  <sheetViews>
    <sheetView workbookViewId="0">
      <pane ySplit="2" topLeftCell="A3" activePane="bottomLeft" state="frozen"/>
      <selection pane="bottomLeft" activeCell="E16" sqref="E16"/>
    </sheetView>
  </sheetViews>
  <sheetFormatPr defaultColWidth="14.453125" defaultRowHeight="15" customHeight="1"/>
  <cols>
    <col min="1" max="1" width="14.36328125" customWidth="1"/>
    <col min="2" max="2" width="26.1796875" customWidth="1"/>
    <col min="3" max="3" width="8.7265625" customWidth="1"/>
    <col min="4" max="4" width="16.81640625" customWidth="1"/>
    <col min="5" max="26" width="8.7265625" customWidth="1"/>
  </cols>
  <sheetData>
    <row r="1" spans="1:5" ht="14.5">
      <c r="A1" s="31" t="s">
        <v>32</v>
      </c>
      <c r="D1" s="130" t="s">
        <v>347</v>
      </c>
    </row>
    <row r="2" spans="1:5" ht="14.5">
      <c r="A2" s="33" t="s">
        <v>33</v>
      </c>
      <c r="B2" s="34" t="s">
        <v>34</v>
      </c>
      <c r="C2" s="34" t="s">
        <v>35</v>
      </c>
      <c r="D2" s="34" t="s">
        <v>45</v>
      </c>
      <c r="E2" s="34" t="s">
        <v>37</v>
      </c>
    </row>
    <row r="3" spans="1:5" ht="14.5">
      <c r="A3" s="83" t="s">
        <v>493</v>
      </c>
      <c r="D3" s="41" t="s">
        <v>168</v>
      </c>
      <c r="E3" s="58" t="s">
        <v>358</v>
      </c>
    </row>
    <row r="4" spans="1:5" ht="14.5">
      <c r="A4" s="83" t="s">
        <v>494</v>
      </c>
      <c r="B4" s="109" t="s">
        <v>348</v>
      </c>
      <c r="C4" s="110" t="s">
        <v>356</v>
      </c>
      <c r="D4" s="41" t="s">
        <v>169</v>
      </c>
      <c r="E4" s="58" t="s">
        <v>167</v>
      </c>
    </row>
    <row r="5" spans="1:5" ht="14.5">
      <c r="A5" s="83" t="s">
        <v>495</v>
      </c>
      <c r="B5" s="102" t="s">
        <v>349</v>
      </c>
      <c r="C5" s="106">
        <v>1126</v>
      </c>
      <c r="D5" s="41" t="s">
        <v>170</v>
      </c>
      <c r="E5" s="58" t="s">
        <v>167</v>
      </c>
    </row>
    <row r="6" spans="1:5" ht="14.5">
      <c r="A6" s="83" t="s">
        <v>496</v>
      </c>
      <c r="B6" s="102" t="s">
        <v>172</v>
      </c>
      <c r="C6" s="106">
        <v>1202</v>
      </c>
      <c r="D6" s="41" t="s">
        <v>171</v>
      </c>
      <c r="E6" s="58" t="s">
        <v>167</v>
      </c>
    </row>
    <row r="7" spans="1:5" ht="14.5">
      <c r="A7" s="83" t="s">
        <v>497</v>
      </c>
      <c r="B7" s="127" t="s">
        <v>350</v>
      </c>
      <c r="C7" s="106">
        <v>1235</v>
      </c>
      <c r="D7" s="58"/>
      <c r="E7" s="58" t="s">
        <v>167</v>
      </c>
    </row>
    <row r="8" spans="1:5" ht="14.5">
      <c r="A8" s="83" t="s">
        <v>498</v>
      </c>
      <c r="B8" s="127" t="s">
        <v>351</v>
      </c>
      <c r="C8" s="106">
        <v>1253</v>
      </c>
      <c r="D8" s="58"/>
      <c r="E8" s="58" t="s">
        <v>167</v>
      </c>
    </row>
    <row r="9" spans="1:5" ht="14.5">
      <c r="A9" s="83" t="s">
        <v>499</v>
      </c>
      <c r="B9" s="102" t="s">
        <v>181</v>
      </c>
      <c r="C9" s="106">
        <v>1312</v>
      </c>
      <c r="D9" s="58"/>
      <c r="E9" s="58" t="s">
        <v>167</v>
      </c>
    </row>
    <row r="10" spans="1:5" ht="14.5">
      <c r="A10" s="83" t="s">
        <v>500</v>
      </c>
      <c r="B10" s="102" t="s">
        <v>352</v>
      </c>
      <c r="C10" s="114">
        <v>1342</v>
      </c>
      <c r="D10" s="58"/>
      <c r="E10" s="58" t="s">
        <v>167</v>
      </c>
    </row>
    <row r="11" spans="1:5" ht="14.5">
      <c r="A11" s="83" t="s">
        <v>501</v>
      </c>
      <c r="B11" s="102" t="s">
        <v>353</v>
      </c>
      <c r="C11" s="114">
        <v>1349</v>
      </c>
      <c r="D11" s="84"/>
      <c r="E11" s="58" t="s">
        <v>167</v>
      </c>
    </row>
    <row r="12" spans="1:5" ht="14.5">
      <c r="A12" s="83" t="s">
        <v>502</v>
      </c>
      <c r="B12" s="102" t="s">
        <v>292</v>
      </c>
      <c r="C12" s="114">
        <v>1350</v>
      </c>
      <c r="D12" s="84"/>
      <c r="E12" s="58" t="s">
        <v>167</v>
      </c>
    </row>
    <row r="13" spans="1:5" ht="14.5">
      <c r="A13" s="78" t="s">
        <v>88</v>
      </c>
      <c r="B13" s="79">
        <f>SUBTOTAL(103,B3:B12)</f>
        <v>9</v>
      </c>
      <c r="C13" s="18"/>
      <c r="D13" s="18"/>
    </row>
    <row r="16" spans="1:5" ht="15" customHeight="1">
      <c r="B16" s="138" t="s">
        <v>354</v>
      </c>
      <c r="C16" s="110" t="s">
        <v>355</v>
      </c>
      <c r="D16" s="143" t="s">
        <v>51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hyperlinks>
    <hyperlink ref="A1" location="Summary!A1" display="Summary"/>
  </hyperlinks>
  <pageMargins left="0.75" right="0.75" top="1" bottom="1" header="0" footer="0"/>
  <pageSetup orientation="landscape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workbookViewId="0">
      <pane ySplit="2" topLeftCell="A3" activePane="bottomLeft" state="frozen"/>
      <selection pane="bottomLeft" activeCell="A3" sqref="A3:E6"/>
    </sheetView>
  </sheetViews>
  <sheetFormatPr defaultColWidth="14.453125" defaultRowHeight="15" customHeight="1"/>
  <cols>
    <col min="1" max="1" width="13.36328125" customWidth="1"/>
    <col min="2" max="2" width="21.81640625" customWidth="1"/>
    <col min="3" max="3" width="11.7265625" customWidth="1"/>
    <col min="4" max="4" width="14.453125" customWidth="1"/>
    <col min="5" max="26" width="8.7265625" customWidth="1"/>
  </cols>
  <sheetData>
    <row r="1" spans="1:5" ht="14.5">
      <c r="A1" s="31" t="s">
        <v>32</v>
      </c>
      <c r="D1" s="94" t="s">
        <v>201</v>
      </c>
    </row>
    <row r="2" spans="1:5" ht="14.5">
      <c r="A2" s="33" t="s">
        <v>33</v>
      </c>
      <c r="B2" s="34" t="s">
        <v>34</v>
      </c>
      <c r="C2" s="34" t="s">
        <v>35</v>
      </c>
      <c r="D2" s="34" t="s">
        <v>45</v>
      </c>
      <c r="E2" s="34" t="s">
        <v>37</v>
      </c>
    </row>
    <row r="3" spans="1:5" ht="14.5">
      <c r="A3" s="83" t="s">
        <v>503</v>
      </c>
      <c r="B3" s="102" t="s">
        <v>233</v>
      </c>
      <c r="C3" s="114">
        <v>1334</v>
      </c>
      <c r="D3" s="58"/>
      <c r="E3" s="58" t="s">
        <v>156</v>
      </c>
    </row>
    <row r="4" spans="1:5" ht="14.5">
      <c r="A4" s="83" t="s">
        <v>504</v>
      </c>
      <c r="B4" s="102" t="s">
        <v>173</v>
      </c>
      <c r="C4" s="114">
        <v>1335</v>
      </c>
      <c r="D4" s="58"/>
      <c r="E4" s="58" t="s">
        <v>156</v>
      </c>
    </row>
    <row r="5" spans="1:5" ht="14.5">
      <c r="A5" s="83" t="s">
        <v>505</v>
      </c>
      <c r="B5" s="102" t="s">
        <v>174</v>
      </c>
      <c r="C5" s="97">
        <v>1351</v>
      </c>
      <c r="D5" s="58"/>
      <c r="E5" s="58" t="s">
        <v>156</v>
      </c>
    </row>
    <row r="6" spans="1:5" ht="14.5">
      <c r="A6" s="83" t="s">
        <v>506</v>
      </c>
      <c r="B6" s="102" t="s">
        <v>234</v>
      </c>
      <c r="C6" s="115">
        <v>1363</v>
      </c>
      <c r="D6" s="58"/>
      <c r="E6" s="58" t="s">
        <v>156</v>
      </c>
    </row>
    <row r="7" spans="1:5" ht="14.5">
      <c r="A7" s="78" t="s">
        <v>88</v>
      </c>
      <c r="B7" s="79">
        <f>SUBTOTAL(103,B3:B6)</f>
        <v>4</v>
      </c>
      <c r="C7" s="18"/>
      <c r="D7" s="18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hyperlinks>
    <hyperlink ref="A1" location="Summary!A1" display="Summary"/>
  </hyperlinks>
  <pageMargins left="0.75" right="0.75" top="1" bottom="1" header="0" footer="0"/>
  <pageSetup orientation="landscape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workbookViewId="0">
      <pane ySplit="2" topLeftCell="A3" activePane="bottomLeft" state="frozen"/>
      <selection pane="bottomLeft" activeCell="A3" sqref="A3:E6"/>
    </sheetView>
  </sheetViews>
  <sheetFormatPr defaultColWidth="14.453125" defaultRowHeight="15" customHeight="1"/>
  <cols>
    <col min="1" max="1" width="13" customWidth="1"/>
    <col min="2" max="2" width="21.81640625" customWidth="1"/>
    <col min="3" max="3" width="11.7265625" customWidth="1"/>
    <col min="4" max="4" width="14.453125" customWidth="1"/>
    <col min="5" max="26" width="8.7265625" customWidth="1"/>
  </cols>
  <sheetData>
    <row r="1" spans="1:5" ht="14.5">
      <c r="A1" s="31" t="s">
        <v>32</v>
      </c>
      <c r="D1" s="94" t="s">
        <v>202</v>
      </c>
    </row>
    <row r="2" spans="1:5" ht="14.5">
      <c r="A2" s="33" t="s">
        <v>33</v>
      </c>
      <c r="B2" s="34" t="s">
        <v>34</v>
      </c>
      <c r="C2" s="34" t="s">
        <v>35</v>
      </c>
      <c r="D2" s="34" t="s">
        <v>45</v>
      </c>
      <c r="E2" s="34" t="s">
        <v>37</v>
      </c>
    </row>
    <row r="3" spans="1:5" ht="14.5">
      <c r="A3" s="83" t="s">
        <v>507</v>
      </c>
      <c r="B3" s="102" t="s">
        <v>239</v>
      </c>
      <c r="C3" s="114">
        <v>1325</v>
      </c>
      <c r="D3" s="58"/>
      <c r="E3" s="58" t="s">
        <v>167</v>
      </c>
    </row>
    <row r="4" spans="1:5" ht="14.5">
      <c r="A4" s="83" t="s">
        <v>508</v>
      </c>
      <c r="B4" s="102" t="s">
        <v>240</v>
      </c>
      <c r="C4" s="114">
        <v>1326</v>
      </c>
      <c r="D4" s="58"/>
      <c r="E4" s="58" t="s">
        <v>167</v>
      </c>
    </row>
    <row r="5" spans="1:5" ht="14.5">
      <c r="A5" s="83" t="s">
        <v>509</v>
      </c>
      <c r="B5" s="102" t="s">
        <v>175</v>
      </c>
      <c r="C5" s="114">
        <v>1327</v>
      </c>
      <c r="D5" s="58"/>
      <c r="E5" s="58" t="s">
        <v>167</v>
      </c>
    </row>
    <row r="6" spans="1:5" ht="14.5">
      <c r="A6" s="83" t="s">
        <v>510</v>
      </c>
      <c r="B6" s="96" t="s">
        <v>241</v>
      </c>
      <c r="C6" s="97">
        <v>1368</v>
      </c>
      <c r="D6" s="58"/>
      <c r="E6" s="58" t="s">
        <v>167</v>
      </c>
    </row>
    <row r="7" spans="1:5" ht="14.5">
      <c r="A7" s="78" t="s">
        <v>88</v>
      </c>
      <c r="B7" s="79">
        <f>SUBTOTAL(103,B3:B6)</f>
        <v>4</v>
      </c>
      <c r="C7" s="18"/>
      <c r="D7" s="18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hyperlinks>
    <hyperlink ref="A1" location="Summary!A1" display="Summary"/>
  </hyperlinks>
  <pageMargins left="0.75" right="0.75" top="1" bottom="1" header="0" footer="0"/>
  <pageSetup orientation="landscape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999"/>
  <sheetViews>
    <sheetView workbookViewId="0">
      <pane ySplit="2" topLeftCell="A3" activePane="bottomLeft" state="frozen"/>
      <selection pane="bottomLeft" activeCell="A3" sqref="A3:E10"/>
    </sheetView>
  </sheetViews>
  <sheetFormatPr defaultColWidth="14.453125" defaultRowHeight="15" customHeight="1"/>
  <cols>
    <col min="1" max="1" width="13.81640625" customWidth="1"/>
    <col min="2" max="2" width="22.1796875" customWidth="1"/>
    <col min="3" max="3" width="13.453125" customWidth="1"/>
    <col min="4" max="4" width="18" customWidth="1"/>
    <col min="5" max="26" width="8.7265625" customWidth="1"/>
  </cols>
  <sheetData>
    <row r="1" spans="1:5" ht="14.5">
      <c r="A1" s="31" t="s">
        <v>32</v>
      </c>
      <c r="D1" s="130" t="s">
        <v>315</v>
      </c>
    </row>
    <row r="2" spans="1:5" ht="14.5">
      <c r="A2" s="73" t="s">
        <v>33</v>
      </c>
      <c r="B2" s="74" t="s">
        <v>34</v>
      </c>
      <c r="C2" s="74" t="s">
        <v>35</v>
      </c>
      <c r="D2" s="74" t="s">
        <v>45</v>
      </c>
      <c r="E2" s="74" t="s">
        <v>37</v>
      </c>
    </row>
    <row r="3" spans="1:5" ht="14.5">
      <c r="A3" s="83" t="s">
        <v>511</v>
      </c>
      <c r="B3" s="102" t="s">
        <v>180</v>
      </c>
      <c r="C3" s="106">
        <v>1270</v>
      </c>
      <c r="D3" s="41" t="s">
        <v>176</v>
      </c>
      <c r="E3" s="58" t="s">
        <v>167</v>
      </c>
    </row>
    <row r="4" spans="1:5" ht="14.5">
      <c r="A4" s="83" t="s">
        <v>512</v>
      </c>
      <c r="B4" s="102" t="s">
        <v>316</v>
      </c>
      <c r="C4" s="106">
        <v>1298</v>
      </c>
      <c r="D4" s="41" t="s">
        <v>176</v>
      </c>
      <c r="E4" s="58" t="s">
        <v>167</v>
      </c>
    </row>
    <row r="5" spans="1:5" ht="14.5">
      <c r="A5" s="83" t="s">
        <v>513</v>
      </c>
      <c r="B5" s="102" t="s">
        <v>178</v>
      </c>
      <c r="C5" s="106">
        <v>1314</v>
      </c>
      <c r="D5" s="41" t="s">
        <v>176</v>
      </c>
      <c r="E5" s="58" t="s">
        <v>167</v>
      </c>
    </row>
    <row r="6" spans="1:5" ht="14.5">
      <c r="A6" s="83" t="s">
        <v>514</v>
      </c>
      <c r="B6" s="102" t="s">
        <v>177</v>
      </c>
      <c r="C6" s="114">
        <v>1332</v>
      </c>
      <c r="D6" s="41" t="s">
        <v>176</v>
      </c>
      <c r="E6" s="58" t="s">
        <v>167</v>
      </c>
    </row>
    <row r="7" spans="1:5" ht="14.5">
      <c r="A7" s="83" t="s">
        <v>515</v>
      </c>
      <c r="B7" s="102" t="s">
        <v>317</v>
      </c>
      <c r="C7" s="114">
        <v>1336</v>
      </c>
      <c r="D7" s="41" t="s">
        <v>179</v>
      </c>
      <c r="E7" s="58" t="s">
        <v>167</v>
      </c>
    </row>
    <row r="8" spans="1:5" ht="14.5">
      <c r="A8" s="83" t="s">
        <v>516</v>
      </c>
      <c r="B8" s="102" t="s">
        <v>318</v>
      </c>
      <c r="C8" s="114">
        <v>1337</v>
      </c>
      <c r="D8" s="41" t="s">
        <v>179</v>
      </c>
      <c r="E8" s="58" t="s">
        <v>167</v>
      </c>
    </row>
    <row r="9" spans="1:5" ht="14.5">
      <c r="A9" s="83" t="s">
        <v>517</v>
      </c>
      <c r="B9" s="96" t="s">
        <v>319</v>
      </c>
      <c r="C9" s="97">
        <v>1372</v>
      </c>
      <c r="D9" s="41" t="s">
        <v>179</v>
      </c>
      <c r="E9" s="58" t="s">
        <v>167</v>
      </c>
    </row>
    <row r="10" spans="1:5" ht="14.5">
      <c r="A10" s="83" t="s">
        <v>518</v>
      </c>
      <c r="B10" s="82"/>
      <c r="C10" s="38"/>
      <c r="D10" s="41"/>
      <c r="E10" s="58" t="s">
        <v>359</v>
      </c>
    </row>
    <row r="11" spans="1:5" ht="14.5">
      <c r="A11" s="78" t="s">
        <v>88</v>
      </c>
      <c r="B11" s="79">
        <f>SUBTOTAL(103,B3:B10)</f>
        <v>7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hyperlinks>
    <hyperlink ref="A1" location="Summary!A1" display="Summary"/>
  </hyperlinks>
  <pageMargins left="0.75" right="0.75" top="1" bottom="1" header="0" footer="0"/>
  <pageSetup orientation="landscape"/>
  <legacy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1000"/>
  <sheetViews>
    <sheetView workbookViewId="0">
      <pane ySplit="2" topLeftCell="A3" activePane="bottomLeft" state="frozen"/>
      <selection pane="bottomLeft" activeCell="A3" sqref="A3:E11"/>
    </sheetView>
  </sheetViews>
  <sheetFormatPr defaultColWidth="14.453125" defaultRowHeight="15" customHeight="1"/>
  <cols>
    <col min="1" max="1" width="15.26953125" customWidth="1"/>
    <col min="2" max="2" width="22.1796875" customWidth="1"/>
    <col min="3" max="3" width="13.453125" customWidth="1"/>
    <col min="4" max="4" width="20.26953125" customWidth="1"/>
    <col min="5" max="26" width="8.7265625" customWidth="1"/>
  </cols>
  <sheetData>
    <row r="1" spans="1:5" ht="14.5">
      <c r="A1" s="31" t="s">
        <v>32</v>
      </c>
      <c r="D1" s="133" t="s">
        <v>320</v>
      </c>
    </row>
    <row r="2" spans="1:5" ht="14.5">
      <c r="A2" s="73" t="s">
        <v>33</v>
      </c>
      <c r="B2" s="74" t="s">
        <v>34</v>
      </c>
      <c r="C2" s="74" t="s">
        <v>35</v>
      </c>
      <c r="D2" s="74" t="s">
        <v>45</v>
      </c>
      <c r="E2" s="74" t="s">
        <v>37</v>
      </c>
    </row>
    <row r="3" spans="1:5" ht="14.5">
      <c r="A3" s="83" t="s">
        <v>519</v>
      </c>
      <c r="B3" s="109" t="s">
        <v>321</v>
      </c>
      <c r="C3" s="110" t="s">
        <v>330</v>
      </c>
      <c r="D3" s="41"/>
      <c r="E3" s="58" t="s">
        <v>156</v>
      </c>
    </row>
    <row r="4" spans="1:5" ht="14.5">
      <c r="A4" s="83" t="s">
        <v>520</v>
      </c>
      <c r="B4" s="109" t="s">
        <v>322</v>
      </c>
      <c r="C4" s="110" t="s">
        <v>331</v>
      </c>
      <c r="D4" s="41"/>
      <c r="E4" s="58" t="s">
        <v>156</v>
      </c>
    </row>
    <row r="5" spans="1:5" ht="14.5">
      <c r="A5" s="83" t="s">
        <v>521</v>
      </c>
      <c r="B5" s="109" t="s">
        <v>323</v>
      </c>
      <c r="C5" s="110" t="s">
        <v>332</v>
      </c>
      <c r="D5" s="41"/>
      <c r="E5" s="58" t="s">
        <v>156</v>
      </c>
    </row>
    <row r="6" spans="1:5" ht="14.5">
      <c r="A6" s="83" t="s">
        <v>522</v>
      </c>
      <c r="B6" s="102" t="s">
        <v>324</v>
      </c>
      <c r="C6" s="106">
        <v>1054</v>
      </c>
      <c r="D6" s="41"/>
      <c r="E6" s="58" t="s">
        <v>156</v>
      </c>
    </row>
    <row r="7" spans="1:5" ht="14.5">
      <c r="A7" s="83" t="s">
        <v>523</v>
      </c>
      <c r="B7" s="131" t="s">
        <v>325</v>
      </c>
      <c r="C7" s="106">
        <v>1149</v>
      </c>
      <c r="D7" s="41"/>
      <c r="E7" s="58" t="s">
        <v>156</v>
      </c>
    </row>
    <row r="8" spans="1:5" ht="14.5">
      <c r="A8" s="83" t="s">
        <v>524</v>
      </c>
      <c r="B8" s="132" t="s">
        <v>326</v>
      </c>
      <c r="C8" s="106">
        <v>1243</v>
      </c>
      <c r="D8" s="41"/>
      <c r="E8" s="58" t="s">
        <v>156</v>
      </c>
    </row>
    <row r="9" spans="1:5" ht="14.5">
      <c r="A9" s="83" t="s">
        <v>525</v>
      </c>
      <c r="B9" s="132" t="s">
        <v>327</v>
      </c>
      <c r="C9" s="106">
        <v>1264</v>
      </c>
      <c r="D9" s="41"/>
      <c r="E9" s="58" t="s">
        <v>156</v>
      </c>
    </row>
    <row r="10" spans="1:5" ht="14.5">
      <c r="A10" s="83" t="s">
        <v>526</v>
      </c>
      <c r="B10" s="102" t="s">
        <v>328</v>
      </c>
      <c r="C10" s="114">
        <v>1341</v>
      </c>
      <c r="D10" s="41"/>
      <c r="E10" s="58" t="s">
        <v>156</v>
      </c>
    </row>
    <row r="11" spans="1:5" ht="14.5">
      <c r="A11" s="83" t="s">
        <v>527</v>
      </c>
      <c r="B11" s="102" t="s">
        <v>329</v>
      </c>
      <c r="C11" s="97">
        <v>1353</v>
      </c>
      <c r="D11" s="41"/>
      <c r="E11" s="58" t="s">
        <v>156</v>
      </c>
    </row>
    <row r="12" spans="1:5" ht="14.5">
      <c r="A12" s="78" t="s">
        <v>88</v>
      </c>
      <c r="B12" s="79">
        <f>SUBTOTAL(103,B3:B11)</f>
        <v>9</v>
      </c>
      <c r="C12" s="38"/>
      <c r="D12" s="41"/>
      <c r="E12" s="5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A1" location="Summary!A1" display="Summary"/>
  </hyperlinks>
  <pageMargins left="0.75" right="0.75" top="1" bottom="1" header="0" footer="0"/>
  <pageSetup orientation="landscape"/>
  <legacy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1001"/>
  <sheetViews>
    <sheetView workbookViewId="0">
      <selection activeCell="A3" sqref="A3:E12"/>
    </sheetView>
  </sheetViews>
  <sheetFormatPr defaultColWidth="14.453125" defaultRowHeight="15" customHeight="1"/>
  <cols>
    <col min="1" max="1" width="17.6328125" customWidth="1"/>
    <col min="2" max="2" width="22.1796875" customWidth="1"/>
    <col min="3" max="3" width="13.453125" customWidth="1"/>
    <col min="4" max="4" width="18" customWidth="1"/>
    <col min="5" max="26" width="8.7265625" customWidth="1"/>
  </cols>
  <sheetData>
    <row r="1" spans="1:5" ht="14.5">
      <c r="A1" s="31" t="s">
        <v>32</v>
      </c>
      <c r="D1" s="133" t="s">
        <v>333</v>
      </c>
    </row>
    <row r="2" spans="1:5" ht="14.5">
      <c r="A2" s="73" t="s">
        <v>33</v>
      </c>
      <c r="B2" s="74" t="s">
        <v>34</v>
      </c>
      <c r="C2" s="74" t="s">
        <v>35</v>
      </c>
      <c r="D2" s="74" t="s">
        <v>45</v>
      </c>
      <c r="E2" s="74" t="s">
        <v>37</v>
      </c>
    </row>
    <row r="3" spans="1:5" ht="14.5">
      <c r="A3" s="83" t="s">
        <v>528</v>
      </c>
      <c r="B3" s="134" t="s">
        <v>334</v>
      </c>
      <c r="C3" s="135" t="s">
        <v>342</v>
      </c>
      <c r="D3" s="41"/>
      <c r="E3" s="58" t="s">
        <v>156</v>
      </c>
    </row>
    <row r="4" spans="1:5" ht="14.5">
      <c r="A4" s="83" t="s">
        <v>529</v>
      </c>
      <c r="B4" s="102" t="s">
        <v>335</v>
      </c>
      <c r="C4" s="114">
        <v>1329</v>
      </c>
      <c r="D4" s="41"/>
      <c r="E4" s="58" t="s">
        <v>156</v>
      </c>
    </row>
    <row r="5" spans="1:5" ht="14.5">
      <c r="A5" s="83" t="s">
        <v>530</v>
      </c>
      <c r="B5" s="96" t="s">
        <v>336</v>
      </c>
      <c r="C5" s="97">
        <v>1387</v>
      </c>
      <c r="D5" s="41"/>
      <c r="E5" s="58" t="s">
        <v>156</v>
      </c>
    </row>
    <row r="6" spans="1:5" ht="14.5">
      <c r="A6" s="83" t="s">
        <v>531</v>
      </c>
      <c r="B6" s="96" t="s">
        <v>337</v>
      </c>
      <c r="C6" s="97">
        <v>1379</v>
      </c>
      <c r="D6" s="41"/>
      <c r="E6" s="58" t="s">
        <v>156</v>
      </c>
    </row>
    <row r="7" spans="1:5" ht="14.5">
      <c r="A7" s="83" t="s">
        <v>532</v>
      </c>
      <c r="B7" s="96" t="s">
        <v>338</v>
      </c>
      <c r="C7" s="97">
        <v>1381</v>
      </c>
      <c r="D7" s="41"/>
      <c r="E7" s="58" t="s">
        <v>156</v>
      </c>
    </row>
    <row r="8" spans="1:5" ht="14.5">
      <c r="A8" s="83" t="s">
        <v>533</v>
      </c>
      <c r="B8" s="96" t="s">
        <v>339</v>
      </c>
      <c r="C8" s="97">
        <v>8068</v>
      </c>
      <c r="D8" s="41"/>
      <c r="E8" s="58" t="s">
        <v>156</v>
      </c>
    </row>
    <row r="9" spans="1:5" ht="14.5">
      <c r="A9" s="83" t="s">
        <v>534</v>
      </c>
      <c r="B9" s="96" t="s">
        <v>340</v>
      </c>
      <c r="C9" s="97">
        <v>8070</v>
      </c>
      <c r="D9" s="41"/>
      <c r="E9" s="58" t="s">
        <v>156</v>
      </c>
    </row>
    <row r="10" spans="1:5" ht="14.5">
      <c r="A10" s="83" t="s">
        <v>535</v>
      </c>
      <c r="B10" s="96" t="s">
        <v>341</v>
      </c>
      <c r="C10" s="97">
        <v>8072</v>
      </c>
      <c r="D10" s="41"/>
      <c r="E10" s="58" t="s">
        <v>156</v>
      </c>
    </row>
    <row r="11" spans="1:5" ht="14.5">
      <c r="A11" s="83" t="s">
        <v>536</v>
      </c>
      <c r="B11" s="82"/>
      <c r="C11" s="38"/>
      <c r="D11" s="41"/>
      <c r="E11" s="58" t="s">
        <v>359</v>
      </c>
    </row>
    <row r="12" spans="1:5" s="91" customFormat="1" ht="14.5">
      <c r="A12" s="83" t="s">
        <v>537</v>
      </c>
      <c r="B12" s="82"/>
      <c r="C12" s="50"/>
      <c r="D12" s="60"/>
      <c r="E12" s="60" t="s">
        <v>359</v>
      </c>
    </row>
    <row r="13" spans="1:5" ht="14.5">
      <c r="A13" s="78" t="s">
        <v>88</v>
      </c>
      <c r="B13" s="79">
        <f>SUBTOTAL(103,B3:B12)</f>
        <v>8</v>
      </c>
      <c r="C13" s="38"/>
      <c r="D13" s="41"/>
      <c r="E13" s="58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hyperlinks>
    <hyperlink ref="A1" location="Summary!A1" display="Summary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1000"/>
  <sheetViews>
    <sheetView workbookViewId="0">
      <selection activeCell="A3" sqref="A3:E11"/>
    </sheetView>
  </sheetViews>
  <sheetFormatPr defaultColWidth="14.453125" defaultRowHeight="15" customHeight="1"/>
  <cols>
    <col min="1" max="1" width="13" customWidth="1"/>
    <col min="2" max="2" width="22.1796875" customWidth="1"/>
    <col min="3" max="3" width="13.453125" customWidth="1"/>
    <col min="4" max="4" width="18" customWidth="1"/>
    <col min="5" max="26" width="8.7265625" customWidth="1"/>
  </cols>
  <sheetData>
    <row r="1" spans="1:5" ht="14.5">
      <c r="A1" s="31" t="s">
        <v>32</v>
      </c>
    </row>
    <row r="2" spans="1:5" ht="14.5">
      <c r="A2" s="73" t="s">
        <v>33</v>
      </c>
      <c r="B2" s="74" t="s">
        <v>34</v>
      </c>
      <c r="C2" s="74" t="s">
        <v>35</v>
      </c>
      <c r="D2" s="74" t="s">
        <v>45</v>
      </c>
      <c r="E2" s="74" t="s">
        <v>37</v>
      </c>
    </row>
    <row r="3" spans="1:5" ht="14.5">
      <c r="A3" s="83" t="s">
        <v>538</v>
      </c>
      <c r="B3" s="85" t="s">
        <v>182</v>
      </c>
      <c r="C3" s="38"/>
      <c r="D3" s="41"/>
      <c r="E3" s="58" t="s">
        <v>167</v>
      </c>
    </row>
    <row r="4" spans="1:5" ht="14.5">
      <c r="A4" s="83" t="s">
        <v>539</v>
      </c>
      <c r="B4" s="85"/>
      <c r="C4" s="38"/>
      <c r="D4" s="41"/>
      <c r="E4" s="58" t="s">
        <v>577</v>
      </c>
    </row>
    <row r="5" spans="1:5" ht="14.5">
      <c r="A5" s="83" t="s">
        <v>540</v>
      </c>
      <c r="B5" s="85"/>
      <c r="C5" s="38"/>
      <c r="D5" s="41"/>
      <c r="E5" s="58" t="s">
        <v>577</v>
      </c>
    </row>
    <row r="6" spans="1:5" ht="14.5">
      <c r="A6" s="83" t="s">
        <v>541</v>
      </c>
      <c r="B6" s="85"/>
      <c r="C6" s="38"/>
      <c r="D6" s="41"/>
      <c r="E6" s="60" t="s">
        <v>577</v>
      </c>
    </row>
    <row r="7" spans="1:5" ht="14.5">
      <c r="A7" s="83" t="s">
        <v>542</v>
      </c>
      <c r="B7" s="85"/>
      <c r="C7" s="38"/>
      <c r="D7" s="41"/>
      <c r="E7" s="60" t="s">
        <v>577</v>
      </c>
    </row>
    <row r="8" spans="1:5" ht="14.5">
      <c r="A8" s="83" t="s">
        <v>543</v>
      </c>
      <c r="B8" s="85"/>
      <c r="C8" s="38"/>
      <c r="D8" s="41"/>
      <c r="E8" s="60" t="s">
        <v>577</v>
      </c>
    </row>
    <row r="9" spans="1:5" ht="14.5">
      <c r="A9" s="83" t="s">
        <v>544</v>
      </c>
      <c r="B9" s="85"/>
      <c r="C9" s="38"/>
      <c r="D9" s="41"/>
      <c r="E9" s="60" t="s">
        <v>577</v>
      </c>
    </row>
    <row r="10" spans="1:5" ht="14.5">
      <c r="A10" s="83" t="s">
        <v>545</v>
      </c>
      <c r="B10" s="85"/>
      <c r="C10" s="38"/>
      <c r="D10" s="41"/>
      <c r="E10" s="60" t="s">
        <v>577</v>
      </c>
    </row>
    <row r="11" spans="1:5" ht="14.5">
      <c r="A11" s="83" t="s">
        <v>546</v>
      </c>
      <c r="B11" s="82"/>
      <c r="C11" s="38"/>
      <c r="D11" s="41"/>
      <c r="E11" s="60" t="s">
        <v>577</v>
      </c>
    </row>
    <row r="12" spans="1:5" ht="14.5">
      <c r="A12" s="78" t="s">
        <v>88</v>
      </c>
      <c r="B12" s="79">
        <f>SUBTOTAL(103,B3:B10)</f>
        <v>1</v>
      </c>
      <c r="C12" s="38"/>
      <c r="D12" s="41"/>
      <c r="E12" s="5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A1" location="Summary!A1" display="Summary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selection activeCell="E13" sqref="E13"/>
    </sheetView>
  </sheetViews>
  <sheetFormatPr defaultRowHeight="14.5"/>
  <cols>
    <col min="1" max="1" width="19.08984375" customWidth="1"/>
    <col min="2" max="2" width="18.36328125" customWidth="1"/>
  </cols>
  <sheetData>
    <row r="1" spans="1:4">
      <c r="A1" s="31" t="s">
        <v>32</v>
      </c>
      <c r="B1" s="148"/>
      <c r="C1" s="148"/>
      <c r="D1" s="148"/>
    </row>
    <row r="2" spans="1:4">
      <c r="A2" s="73" t="s">
        <v>361</v>
      </c>
      <c r="B2" s="74" t="s">
        <v>45</v>
      </c>
      <c r="D2" s="148"/>
    </row>
    <row r="3" spans="1:4">
      <c r="A3" s="83" t="s">
        <v>362</v>
      </c>
      <c r="B3" s="6" t="s">
        <v>9</v>
      </c>
      <c r="C3" s="60"/>
      <c r="D3" s="148"/>
    </row>
    <row r="4" spans="1:4">
      <c r="A4" s="83" t="s">
        <v>363</v>
      </c>
      <c r="B4" s="6" t="s">
        <v>11</v>
      </c>
      <c r="C4" s="60"/>
      <c r="D4" s="148"/>
    </row>
    <row r="5" spans="1:4">
      <c r="A5" s="83" t="s">
        <v>364</v>
      </c>
      <c r="B5" s="6" t="s">
        <v>12</v>
      </c>
      <c r="C5" s="60"/>
      <c r="D5" s="148"/>
    </row>
    <row r="6" spans="1:4">
      <c r="A6" s="83" t="s">
        <v>365</v>
      </c>
      <c r="B6" s="6" t="s">
        <v>15</v>
      </c>
      <c r="C6" s="60"/>
      <c r="D6" s="148"/>
    </row>
    <row r="7" spans="1:4">
      <c r="A7" s="83" t="s">
        <v>366</v>
      </c>
      <c r="B7" s="6" t="s">
        <v>18</v>
      </c>
      <c r="C7" s="60"/>
      <c r="D7" s="148"/>
    </row>
    <row r="8" spans="1:4">
      <c r="A8" s="83"/>
      <c r="B8" s="85"/>
      <c r="C8" s="60"/>
      <c r="D8" s="148"/>
    </row>
    <row r="9" spans="1:4">
      <c r="A9" s="83"/>
      <c r="B9" s="85"/>
      <c r="C9" s="60"/>
      <c r="D9" s="148"/>
    </row>
    <row r="10" spans="1:4">
      <c r="A10" s="83"/>
      <c r="B10" s="85"/>
      <c r="C10" s="60"/>
      <c r="D10" s="148"/>
    </row>
    <row r="11" spans="1:4">
      <c r="A11" s="83"/>
      <c r="B11" s="82"/>
      <c r="C11" s="60"/>
      <c r="D11" s="148"/>
    </row>
    <row r="12" spans="1:4">
      <c r="A12" s="78"/>
      <c r="B12" s="79"/>
      <c r="C12" s="60"/>
      <c r="D12" s="148"/>
    </row>
  </sheetData>
  <hyperlinks>
    <hyperlink ref="A1" location="Summary!A1" display="Summary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Summary</vt:lpstr>
      <vt:lpstr>Leave</vt:lpstr>
      <vt:lpstr>R.Shift</vt:lpstr>
      <vt:lpstr>Room 1-Al 06</vt:lpstr>
      <vt:lpstr>Room 2-Al 07</vt:lpstr>
      <vt:lpstr>Room 3-Al-08</vt:lpstr>
      <vt:lpstr>Room 4-Al 12</vt:lpstr>
      <vt:lpstr>Room 5-Al 17</vt:lpstr>
      <vt:lpstr>Room 6 -S 105</vt:lpstr>
      <vt:lpstr>Room 7 -S 106</vt:lpstr>
      <vt:lpstr>Room 8-S 107</vt:lpstr>
      <vt:lpstr>Room 9 -J 230</vt:lpstr>
      <vt:lpstr>Room 10-J 237</vt:lpstr>
      <vt:lpstr>Room 11-J 242</vt:lpstr>
      <vt:lpstr>Room 12-S 108</vt:lpstr>
      <vt:lpstr>Room 13-S 109</vt:lpstr>
      <vt:lpstr>Room 14-S 72</vt:lpstr>
      <vt:lpstr>Room 15-S-73</vt:lpstr>
      <vt:lpstr>Room 16-S 24</vt:lpstr>
      <vt:lpstr>Room 17-S 25</vt:lpstr>
      <vt:lpstr>Room 18-S 26</vt:lpstr>
      <vt:lpstr>Room 19-S 27</vt:lpstr>
      <vt:lpstr>Room 20-S 33</vt:lpstr>
      <vt:lpstr>Room 21-Al gf 05</vt:lpstr>
      <vt:lpstr>Room 22-Al gf-06</vt:lpstr>
      <vt:lpstr>Room 23-J 134</vt:lpstr>
      <vt:lpstr>Room 24-AD Musaff-A12</vt:lpstr>
      <vt:lpstr>Room 25-S 79</vt:lpstr>
      <vt:lpstr>Room 26-S 80</vt:lpstr>
      <vt:lpstr>Room 27-J 306</vt:lpstr>
      <vt:lpstr>Room 28-Aj 01</vt:lpstr>
      <vt:lpstr>Room 29-Aj 02</vt:lpstr>
      <vt:lpstr>Room 30-Aj 03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Dell-3510</dc:creator>
  <cp:lastModifiedBy>HP</cp:lastModifiedBy>
  <dcterms:created xsi:type="dcterms:W3CDTF">2026-06-25T07:38:54Z</dcterms:created>
  <dcterms:modified xsi:type="dcterms:W3CDTF">2026-06-29T11:16:20Z</dcterms:modified>
</cp:coreProperties>
</file>